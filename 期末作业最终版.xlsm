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zhouyanan12\Desktop\"/>
    </mc:Choice>
  </mc:AlternateContent>
  <bookViews>
    <workbookView xWindow="0" yWindow="0" windowWidth="28800" windowHeight="18000" firstSheet="1" activeTab="1"/>
  </bookViews>
  <sheets>
    <sheet name="DefinedBenefitPlan(只可以查单人)" sheetId="5" r:id="rId1"/>
    <sheet name="DefinedBenefitPlan2(可以查多人)" sheetId="7" r:id="rId2"/>
    <sheet name="rules" sheetId="6" r:id="rId3"/>
    <sheet name="员工信息" sheetId="3" r:id="rId4"/>
  </sheets>
  <functionGroups builtInGroupCount="18"/>
  <definedNames>
    <definedName name="A18a200">'DefinedBenefitPlan2(可以查多人)'!$A$18</definedName>
    <definedName name="_xlnm.Print_Area" localSheetId="0">'DefinedBenefitPlan(只可以查单人)'!$A$1:$E$22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5" l="1"/>
  <c r="B15" i="5" l="1"/>
  <c r="B13" i="5"/>
  <c r="B12" i="5"/>
  <c r="B14" i="5" l="1"/>
  <c r="C10" i="5"/>
  <c r="C9" i="5" l="1"/>
  <c r="C8" i="5"/>
  <c r="C7" i="5"/>
  <c r="C6" i="5"/>
</calcChain>
</file>

<file path=xl/sharedStrings.xml><?xml version="1.0" encoding="utf-8"?>
<sst xmlns="http://schemas.openxmlformats.org/spreadsheetml/2006/main" count="690" uniqueCount="215">
  <si>
    <t>预期寿命：</t>
  </si>
  <si>
    <t>员工等级：</t>
  </si>
  <si>
    <t>假设前提：</t>
  </si>
  <si>
    <t>设定受益计划规则</t>
  </si>
  <si>
    <t>退休后年金数额：</t>
  </si>
  <si>
    <t>Level1</t>
  </si>
  <si>
    <t>Level2</t>
  </si>
  <si>
    <t>Level3</t>
  </si>
  <si>
    <t>Level4</t>
  </si>
  <si>
    <t>Level5</t>
  </si>
  <si>
    <t>员工姓名：</t>
  </si>
  <si>
    <t>入职年份：</t>
  </si>
  <si>
    <t>员工性别：</t>
  </si>
  <si>
    <t>查询年份：</t>
  </si>
  <si>
    <t>设定受益计划计提金额计算</t>
  </si>
  <si>
    <t>周雅南</t>
  </si>
  <si>
    <t>员工姓名</t>
  </si>
  <si>
    <t>员工性别</t>
  </si>
  <si>
    <t>员工等级</t>
  </si>
  <si>
    <t>预期寿命</t>
  </si>
  <si>
    <t>入职年份</t>
  </si>
  <si>
    <t>员工ID</t>
  </si>
  <si>
    <t>员工ID：</t>
  </si>
  <si>
    <t>艾帕提·玉山江</t>
  </si>
  <si>
    <t>艾子曼提·吐尔孙</t>
  </si>
  <si>
    <t>安治东</t>
  </si>
  <si>
    <t>白宗铭</t>
  </si>
  <si>
    <t>包岩霖</t>
  </si>
  <si>
    <t>才旦群培</t>
  </si>
  <si>
    <t>蔡名卿</t>
  </si>
  <si>
    <t>陈晓君</t>
  </si>
  <si>
    <t>陈新</t>
  </si>
  <si>
    <t>邓勇</t>
  </si>
  <si>
    <t>杜炳翼</t>
  </si>
  <si>
    <t>范雪涛</t>
  </si>
  <si>
    <t>顾斌</t>
  </si>
  <si>
    <t>郭晓朋</t>
  </si>
  <si>
    <t>胡俊楠</t>
  </si>
  <si>
    <t>胡睿庭</t>
  </si>
  <si>
    <t>蔡伊凡</t>
  </si>
  <si>
    <t>曹帆</t>
  </si>
  <si>
    <t>陈柳蓉</t>
  </si>
  <si>
    <t>陈珊珊</t>
  </si>
  <si>
    <t>陈瑶</t>
  </si>
  <si>
    <t>陈有霞</t>
  </si>
  <si>
    <t>次仁央宗</t>
  </si>
  <si>
    <t>戴婧娴</t>
  </si>
  <si>
    <t>丁婧娴</t>
  </si>
  <si>
    <t>董瑞</t>
  </si>
  <si>
    <t>杜澳</t>
  </si>
  <si>
    <t>段琢</t>
  </si>
  <si>
    <t>高彩玉</t>
  </si>
  <si>
    <t>高闯</t>
  </si>
  <si>
    <t>耿若绮</t>
  </si>
  <si>
    <t>龚雪</t>
  </si>
  <si>
    <t>古丽达那</t>
  </si>
  <si>
    <t>古丽米热·阿不力米提</t>
  </si>
  <si>
    <t>谷玉卓</t>
  </si>
  <si>
    <t>郭长环</t>
  </si>
  <si>
    <t>郭章路</t>
  </si>
  <si>
    <t>韩晓沛</t>
  </si>
  <si>
    <t>胡纪雯</t>
  </si>
  <si>
    <t>蹇婷雨</t>
  </si>
  <si>
    <t>黄海涛</t>
  </si>
  <si>
    <t>江定杭</t>
  </si>
  <si>
    <t>姜照莹</t>
  </si>
  <si>
    <t>金恒宇</t>
  </si>
  <si>
    <t>李超</t>
  </si>
  <si>
    <t>李嘉麒</t>
  </si>
  <si>
    <t>李群</t>
  </si>
  <si>
    <t>李卍仑</t>
  </si>
  <si>
    <t>李阳平</t>
  </si>
  <si>
    <t>李元治</t>
  </si>
  <si>
    <t>刘阿辉</t>
  </si>
  <si>
    <t>刘海欣</t>
  </si>
  <si>
    <t>刘越超</t>
  </si>
  <si>
    <t>刘子瑜</t>
  </si>
  <si>
    <t>江兴欣</t>
  </si>
  <si>
    <t>蒋梦侠</t>
  </si>
  <si>
    <t>李诗漫</t>
  </si>
  <si>
    <t>李舒平</t>
  </si>
  <si>
    <t>李心鑫</t>
  </si>
  <si>
    <t>李妍</t>
  </si>
  <si>
    <t>李艳明</t>
  </si>
  <si>
    <t>李叶千</t>
  </si>
  <si>
    <t>李怡华</t>
  </si>
  <si>
    <t>李子玉</t>
  </si>
  <si>
    <t>李紫萱</t>
  </si>
  <si>
    <t>廖婷</t>
  </si>
  <si>
    <t>林健</t>
  </si>
  <si>
    <t>凌煦</t>
  </si>
  <si>
    <t>刘楷晴</t>
  </si>
  <si>
    <t>刘昕怡</t>
  </si>
  <si>
    <t>刘咏仪</t>
  </si>
  <si>
    <t>罗澜</t>
  </si>
  <si>
    <t>娜飞沙·吐尔逊</t>
  </si>
  <si>
    <t>聂韵涵</t>
  </si>
  <si>
    <t>宁菁</t>
  </si>
  <si>
    <t>帕丽扎·努尔巴克</t>
  </si>
  <si>
    <t>彭玲玲</t>
  </si>
  <si>
    <t>尼加提·麦麦提吐逊</t>
  </si>
  <si>
    <t>任冲</t>
  </si>
  <si>
    <t>沈丰</t>
  </si>
  <si>
    <t>舒甫</t>
  </si>
  <si>
    <t>汪越</t>
  </si>
  <si>
    <t>王昊</t>
  </si>
  <si>
    <t>王浩然</t>
  </si>
  <si>
    <t>王杰</t>
  </si>
  <si>
    <t>王金鑫</t>
  </si>
  <si>
    <t>王胜君</t>
  </si>
  <si>
    <t>王振</t>
  </si>
  <si>
    <t>吴锋</t>
  </si>
  <si>
    <t>吴洪柏</t>
  </si>
  <si>
    <t>吴天元</t>
  </si>
  <si>
    <t>吴旭东</t>
  </si>
  <si>
    <t>吴卓瑾</t>
  </si>
  <si>
    <t>许怿恺</t>
  </si>
  <si>
    <t>乔龙秀</t>
  </si>
  <si>
    <t>尚艳旭</t>
  </si>
  <si>
    <t>师雨欣</t>
  </si>
  <si>
    <t>苏斌焰</t>
  </si>
  <si>
    <t>孙月琪</t>
  </si>
  <si>
    <t>孙玥</t>
  </si>
  <si>
    <t>覃福珠</t>
  </si>
  <si>
    <t>唐清扬</t>
  </si>
  <si>
    <t>陶晓彤</t>
  </si>
  <si>
    <t>王涵</t>
  </si>
  <si>
    <t>王鸿玉</t>
  </si>
  <si>
    <t>王淼</t>
  </si>
  <si>
    <t>王韧平</t>
  </si>
  <si>
    <t>王威</t>
  </si>
  <si>
    <t>王晓迪</t>
  </si>
  <si>
    <t>王晓燕</t>
  </si>
  <si>
    <t>王雨珂</t>
  </si>
  <si>
    <t>吴绰</t>
  </si>
  <si>
    <t>吴若冰</t>
  </si>
  <si>
    <t>伍璐婷</t>
  </si>
  <si>
    <t>肖淑赫</t>
  </si>
  <si>
    <t>谢成承</t>
  </si>
  <si>
    <t>熊文</t>
  </si>
  <si>
    <t>徐一帆</t>
  </si>
  <si>
    <t>闫正英</t>
  </si>
  <si>
    <t>薛  晨</t>
  </si>
  <si>
    <t>薛显峰</t>
  </si>
  <si>
    <t>严  尊</t>
  </si>
  <si>
    <t>杨盛鹏</t>
  </si>
  <si>
    <t>余璟涛</t>
  </si>
  <si>
    <t>袁佳豪</t>
  </si>
  <si>
    <t>张筱旭</t>
  </si>
  <si>
    <t>张  钺</t>
  </si>
  <si>
    <t>张雲森</t>
  </si>
  <si>
    <t>张子轩</t>
  </si>
  <si>
    <t>赵伟栋</t>
  </si>
  <si>
    <t>周海鹏</t>
  </si>
  <si>
    <t>朱继聪</t>
  </si>
  <si>
    <t>朱林希</t>
  </si>
  <si>
    <t>朱潇睿</t>
  </si>
  <si>
    <t>杨  帆</t>
  </si>
  <si>
    <t>杨  妃</t>
  </si>
  <si>
    <t>姚  泓</t>
  </si>
  <si>
    <t>姚媛媛</t>
  </si>
  <si>
    <t>尤丹琦</t>
  </si>
  <si>
    <t>于潇清</t>
  </si>
  <si>
    <t>余彩微</t>
  </si>
  <si>
    <t>俞婉月</t>
  </si>
  <si>
    <t>战香含</t>
  </si>
  <si>
    <t>张  唱</t>
  </si>
  <si>
    <t>张微微</t>
  </si>
  <si>
    <t>张馨戈</t>
  </si>
  <si>
    <t>张馨宁</t>
  </si>
  <si>
    <t>张亚庆</t>
  </si>
  <si>
    <t>赵晶伟</t>
  </si>
  <si>
    <t>赵雅文</t>
  </si>
  <si>
    <t>郑雨涵</t>
  </si>
  <si>
    <t>周之褀</t>
  </si>
  <si>
    <t>朱天霞</t>
  </si>
  <si>
    <t>宗  吉</t>
  </si>
  <si>
    <t>祖丽胡玛尔·热合曼</t>
  </si>
  <si>
    <t>员工出生年份：</t>
  </si>
  <si>
    <t>员工出生年份</t>
  </si>
  <si>
    <t>Male</t>
  </si>
  <si>
    <t>Female</t>
  </si>
  <si>
    <t>市场利率/折现率：</t>
  </si>
  <si>
    <r>
      <rPr>
        <b/>
        <u/>
        <sz val="18"/>
        <color theme="5"/>
        <rFont val="Microsoft YaHei"/>
        <family val="2"/>
        <charset val="134"/>
      </rPr>
      <t>操作规则：</t>
    </r>
    <r>
      <rPr>
        <sz val="18"/>
        <color theme="1"/>
        <rFont val="Microsoft YaHei"/>
        <family val="2"/>
        <charset val="134"/>
      </rPr>
      <t xml:space="preserve">
1. 员工名单表单是拿2017级商学院名单改编的，具体信息可以查看</t>
    </r>
    <r>
      <rPr>
        <b/>
        <sz val="18"/>
        <color theme="5"/>
        <rFont val="Microsoft YaHei"/>
        <family val="2"/>
        <charset val="134"/>
      </rPr>
      <t>“员工信息”</t>
    </r>
    <r>
      <rPr>
        <sz val="18"/>
        <color theme="1"/>
        <rFont val="Microsoft YaHei"/>
        <family val="2"/>
        <charset val="134"/>
      </rPr>
      <t>表单；
2. 设定受益计划的规则在“rules”表单中，</t>
    </r>
    <r>
      <rPr>
        <b/>
        <sz val="18"/>
        <color theme="5"/>
        <rFont val="Microsoft YaHei"/>
        <family val="2"/>
        <charset val="134"/>
      </rPr>
      <t>规则可以在"rules"表单中修改，程序会自动根据修改后的数据进行计算</t>
    </r>
    <r>
      <rPr>
        <sz val="18"/>
        <color theme="1"/>
        <rFont val="Microsoft YaHei"/>
        <family val="2"/>
        <charset val="134"/>
      </rPr>
      <t>；
3. 在</t>
    </r>
    <r>
      <rPr>
        <b/>
        <sz val="18"/>
        <color theme="5"/>
        <rFont val="Microsoft YaHei"/>
        <family val="2"/>
        <charset val="134"/>
      </rPr>
      <t>员工ID一栏下拉框中选择想要查询的员工ID</t>
    </r>
    <r>
      <rPr>
        <sz val="18"/>
        <color theme="1"/>
        <rFont val="Microsoft YaHei"/>
        <family val="2"/>
        <charset val="134"/>
      </rPr>
      <t xml:space="preserve">，选择后员工的信息会自动在下方匹配显示；
4. </t>
    </r>
    <r>
      <rPr>
        <b/>
        <sz val="18"/>
        <color theme="5"/>
        <rFont val="Microsoft YaHei"/>
        <family val="2"/>
        <charset val="134"/>
      </rPr>
      <t>在弹出窗口中输入想要查询的年份</t>
    </r>
    <r>
      <rPr>
        <sz val="18"/>
        <color theme="1"/>
        <rFont val="Microsoft YaHei"/>
        <family val="2"/>
        <charset val="134"/>
      </rPr>
      <t>，年份会自动录入到表格绿色区域，并且根据输入年份进行计算查询；
5. 点击</t>
    </r>
    <r>
      <rPr>
        <b/>
        <sz val="18"/>
        <color theme="5"/>
        <rFont val="Microsoft YaHei"/>
        <family val="2"/>
        <charset val="134"/>
      </rPr>
      <t>“计算”</t>
    </r>
    <r>
      <rPr>
        <sz val="18"/>
        <color theme="1"/>
        <rFont val="Microsoft YaHei"/>
        <family val="2"/>
        <charset val="134"/>
      </rPr>
      <t>按钮，满足计提要求会计算并弹出窗口显示</t>
    </r>
    <r>
      <rPr>
        <b/>
        <sz val="18"/>
        <color theme="5"/>
        <rFont val="Microsoft YaHei"/>
        <family val="2"/>
        <charset val="134"/>
      </rPr>
      <t>本年新发生的金额、去年余额产生的利息和截止到本年的累计总计提金额</t>
    </r>
    <r>
      <rPr>
        <sz val="18"/>
        <color theme="1"/>
        <rFont val="Microsoft YaHei"/>
        <family val="2"/>
        <charset val="134"/>
      </rPr>
      <t>，不满足则报错，结果同时会显示在表格蓝色区域中；计算后会</t>
    </r>
    <r>
      <rPr>
        <b/>
        <sz val="18"/>
        <color theme="5"/>
        <rFont val="Microsoft YaHei"/>
        <family val="2"/>
        <charset val="134"/>
      </rPr>
      <t>自动询问是否要继续编制会计分录</t>
    </r>
    <r>
      <rPr>
        <sz val="18"/>
        <color theme="1"/>
        <rFont val="Microsoft YaHei"/>
        <family val="2"/>
        <charset val="134"/>
      </rPr>
      <t>，点击确定继续，点击取消不会编制分录。
6. 点击</t>
    </r>
    <r>
      <rPr>
        <b/>
        <sz val="18"/>
        <color theme="5"/>
        <rFont val="Microsoft YaHei"/>
        <family val="2"/>
        <charset val="134"/>
      </rPr>
      <t>“编制会计分录”</t>
    </r>
    <r>
      <rPr>
        <sz val="18"/>
        <color theme="1"/>
        <rFont val="Microsoft YaHei"/>
        <family val="2"/>
        <charset val="134"/>
      </rPr>
      <t>按钮，满足要求的情况下会自动编织会计分录，点击取消不会继续编制，点击确定继续显示在表格蓝色区域中；不满足要求会报错；
7. 任何一个输入/输出框上，只要</t>
    </r>
    <r>
      <rPr>
        <b/>
        <sz val="18"/>
        <color theme="5"/>
        <rFont val="Microsoft YaHei"/>
        <family val="2"/>
        <charset val="134"/>
      </rPr>
      <t>点击“取消”即退出计算程序</t>
    </r>
    <r>
      <rPr>
        <sz val="18"/>
        <color theme="1"/>
        <rFont val="Microsoft YaHei"/>
        <family val="2"/>
        <charset val="134"/>
      </rPr>
      <t>。</t>
    </r>
    <phoneticPr fontId="18" type="noConversion"/>
  </si>
  <si>
    <t>姓名</t>
    <phoneticPr fontId="18" type="noConversion"/>
  </si>
  <si>
    <t>员工ID</t>
    <phoneticPr fontId="18" type="noConversion"/>
  </si>
  <si>
    <t>查询年份</t>
    <phoneticPr fontId="18" type="noConversion"/>
  </si>
  <si>
    <t>入职年份</t>
    <phoneticPr fontId="18" type="noConversion"/>
  </si>
  <si>
    <t>本年应计提利息</t>
    <phoneticPr fontId="18" type="noConversion"/>
  </si>
  <si>
    <t>本年应计提发生额</t>
    <phoneticPr fontId="18" type="noConversion"/>
  </si>
  <si>
    <t>累计总金额</t>
    <phoneticPr fontId="18" type="noConversion"/>
  </si>
  <si>
    <t>会计分录</t>
    <phoneticPr fontId="18" type="noConversion"/>
  </si>
  <si>
    <t xml:space="preserve">
</t>
    <phoneticPr fontId="18" type="noConversion"/>
  </si>
  <si>
    <t>庄雅晴</t>
    <phoneticPr fontId="5" type="noConversion"/>
  </si>
  <si>
    <t>双击全选/
取消全选↓</t>
    <phoneticPr fontId="18" type="noConversion"/>
  </si>
  <si>
    <t>√</t>
    <phoneticPr fontId="18" type="noConversion"/>
  </si>
  <si>
    <t>-</t>
    <phoneticPr fontId="18" type="noConversion"/>
  </si>
  <si>
    <r>
      <rPr>
        <b/>
        <u/>
        <sz val="10"/>
        <color rgb="FFC00000"/>
        <rFont val="微软雅黑"/>
        <family val="2"/>
        <charset val="134"/>
      </rPr>
      <t>操作规则：</t>
    </r>
    <r>
      <rPr>
        <sz val="10"/>
        <color theme="1"/>
        <rFont val="微软雅黑"/>
        <family val="2"/>
        <charset val="134"/>
      </rPr>
      <t xml:space="preserve">
在表格对应栏中输入想要查询员工的</t>
    </r>
    <r>
      <rPr>
        <b/>
        <sz val="10"/>
        <color rgb="FFC00000"/>
        <rFont val="微软雅黑"/>
        <family val="2"/>
        <charset val="134"/>
      </rPr>
      <t>员工ID/姓名（二者输入一个即可，如：在员工ID栏输入1712480，或在姓名栏输入周雅南）</t>
    </r>
    <r>
      <rPr>
        <sz val="10"/>
        <color theme="1"/>
        <rFont val="微软雅黑"/>
        <family val="2"/>
        <charset val="134"/>
      </rPr>
      <t xml:space="preserve">；
</t>
    </r>
    <r>
      <rPr>
        <b/>
        <u/>
        <sz val="10"/>
        <color rgb="FFC00000"/>
        <rFont val="微软雅黑"/>
        <family val="2"/>
        <charset val="134"/>
      </rPr>
      <t>双击</t>
    </r>
    <r>
      <rPr>
        <b/>
        <sz val="10"/>
        <color rgb="FFC00000"/>
        <rFont val="微软雅黑"/>
        <family val="2"/>
        <charset val="134"/>
      </rPr>
      <t>A列中想要计算的员工对应的的单元格</t>
    </r>
    <r>
      <rPr>
        <sz val="10"/>
        <color theme="1"/>
        <rFont val="微软雅黑"/>
        <family val="2"/>
        <charset val="134"/>
      </rPr>
      <t>，出现</t>
    </r>
    <r>
      <rPr>
        <b/>
        <sz val="10"/>
        <color rgb="FFC00000"/>
        <rFont val="微软雅黑"/>
        <family val="2"/>
        <charset val="134"/>
      </rPr>
      <t>"√"表示选中该行</t>
    </r>
    <r>
      <rPr>
        <sz val="10"/>
        <color theme="1"/>
        <rFont val="微软雅黑"/>
        <family val="2"/>
        <charset val="134"/>
      </rPr>
      <t xml:space="preserve">；再次双击该单元格，"√"消失取消选择；
</t>
    </r>
    <r>
      <rPr>
        <b/>
        <u/>
        <sz val="10"/>
        <color rgb="FFC00000"/>
        <rFont val="微软雅黑"/>
        <family val="2"/>
        <charset val="134"/>
      </rPr>
      <t>双击</t>
    </r>
    <r>
      <rPr>
        <b/>
        <sz val="10"/>
        <color rgb="FFC00000"/>
        <rFont val="微软雅黑"/>
        <family val="2"/>
        <charset val="134"/>
      </rPr>
      <t>A列</t>
    </r>
    <r>
      <rPr>
        <b/>
        <sz val="10"/>
        <color theme="8" tint="-0.249977111117893"/>
        <rFont val="微软雅黑"/>
        <family val="2"/>
        <charset val="134"/>
      </rPr>
      <t>蓝色单元格</t>
    </r>
    <r>
      <rPr>
        <sz val="10"/>
        <color theme="1"/>
        <rFont val="微软雅黑"/>
        <family val="2"/>
        <charset val="134"/>
      </rPr>
      <t>，表示</t>
    </r>
    <r>
      <rPr>
        <b/>
        <u/>
        <sz val="10"/>
        <color rgb="FFC00000"/>
        <rFont val="微软雅黑"/>
        <family val="2"/>
        <charset val="134"/>
      </rPr>
      <t>全选</t>
    </r>
    <r>
      <rPr>
        <sz val="10"/>
        <color theme="1"/>
        <rFont val="微软雅黑"/>
        <family val="2"/>
        <charset val="134"/>
      </rPr>
      <t>，下面所有都会出现"√"，再次双击取消全选；
点击</t>
    </r>
    <r>
      <rPr>
        <b/>
        <sz val="10"/>
        <color rgb="FFC00000"/>
        <rFont val="微软雅黑"/>
        <family val="2"/>
        <charset val="134"/>
      </rPr>
      <t>”查询“</t>
    </r>
    <r>
      <rPr>
        <sz val="10"/>
        <color theme="1"/>
        <rFont val="微软雅黑"/>
        <family val="2"/>
        <charset val="134"/>
      </rPr>
      <t>，会弹出窗口</t>
    </r>
    <r>
      <rPr>
        <b/>
        <sz val="10"/>
        <color rgb="FFC00000"/>
        <rFont val="微软雅黑"/>
        <family val="2"/>
        <charset val="134"/>
      </rPr>
      <t>输入想要计算的年份</t>
    </r>
    <r>
      <rPr>
        <sz val="10"/>
        <color theme="1"/>
        <rFont val="微软雅黑"/>
        <family val="2"/>
        <charset val="134"/>
      </rPr>
      <t>，点击确定后继续</t>
    </r>
    <r>
      <rPr>
        <b/>
        <sz val="10"/>
        <color rgb="FFC00000"/>
        <rFont val="微软雅黑"/>
        <family val="2"/>
        <charset val="134"/>
      </rPr>
      <t>计算表格中选中的员工的计提情况</t>
    </r>
    <r>
      <rPr>
        <sz val="10"/>
        <color theme="1"/>
        <rFont val="微软雅黑"/>
        <family val="2"/>
        <charset val="134"/>
      </rPr>
      <t>(空白行即使被选中也不会计算)，点击取消退出程序；
计算结果会返回该员工的各项基本信息，以及</t>
    </r>
    <r>
      <rPr>
        <b/>
        <sz val="10"/>
        <color rgb="FFC00000"/>
        <rFont val="微软雅黑"/>
        <family val="2"/>
        <charset val="134"/>
      </rPr>
      <t>当年发生额、当年发生利息、累计计提总额</t>
    </r>
    <r>
      <rPr>
        <sz val="10"/>
        <rFont val="微软雅黑"/>
        <family val="2"/>
        <charset val="134"/>
      </rPr>
      <t>，若该员工</t>
    </r>
    <r>
      <rPr>
        <b/>
        <sz val="10"/>
        <color rgb="FFC00000"/>
        <rFont val="微软雅黑"/>
        <family val="2"/>
        <charset val="134"/>
      </rPr>
      <t>不符合计提条件则表格对应处会显示"-"；</t>
    </r>
    <r>
      <rPr>
        <sz val="10"/>
        <color theme="1"/>
        <rFont val="微软雅黑"/>
        <family val="2"/>
        <charset val="134"/>
      </rPr>
      <t xml:space="preserve">
随后会弹出窗口询问是否需要编制会计分录，</t>
    </r>
    <r>
      <rPr>
        <b/>
        <sz val="10"/>
        <color rgb="FFC00000"/>
        <rFont val="微软雅黑"/>
        <family val="2"/>
        <charset val="134"/>
      </rPr>
      <t>点击确定后编制分录并输出在分录栏</t>
    </r>
    <r>
      <rPr>
        <sz val="10"/>
        <color theme="1"/>
        <rFont val="微软雅黑"/>
        <family val="2"/>
        <charset val="134"/>
      </rPr>
      <t>，点击取消不会继续编制；
在计算完成后，点击</t>
    </r>
    <r>
      <rPr>
        <b/>
        <sz val="10"/>
        <color rgb="FFC00000"/>
        <rFont val="微软雅黑"/>
        <family val="2"/>
        <charset val="134"/>
      </rPr>
      <t>”清空“</t>
    </r>
    <r>
      <rPr>
        <sz val="10"/>
        <color theme="1"/>
        <rFont val="微软雅黑"/>
        <family val="2"/>
        <charset val="134"/>
      </rPr>
      <t>会清除刚刚所有输入/输出结果。</t>
    </r>
    <phoneticPr fontId="18" type="noConversion"/>
  </si>
  <si>
    <t>员工出生年份</t>
    <phoneticPr fontId="5" type="noConversion"/>
  </si>
  <si>
    <t>工作满几年后开始计提</t>
    <phoneticPr fontId="18" type="noConversion"/>
  </si>
  <si>
    <r>
      <t>1. 市场利率=折现率（为了方便计算每年的利息）
2. 员工不会突发去世或离职；
3. 当员工入职</t>
    </r>
    <r>
      <rPr>
        <u/>
        <sz val="18"/>
        <color theme="7" tint="0.39997558519241921"/>
        <rFont val="Microsoft YaHei"/>
        <family val="2"/>
        <charset val="134"/>
      </rPr>
      <t>工作满10年后</t>
    </r>
    <r>
      <rPr>
        <sz val="18"/>
        <color theme="0"/>
        <rFont val="Microsoft YaHei"/>
        <family val="2"/>
        <charset val="134"/>
      </rPr>
      <t>，每多工作一年，则在退休后直到死亡，每年可以收到一定数额的年金；
4. 公司员工分为5个等级，每个等级所获的养老年金金额不一致；
5. 法定退休年龄：</t>
    </r>
    <r>
      <rPr>
        <u/>
        <sz val="18"/>
        <color theme="7" tint="0.39997558519241921"/>
        <rFont val="Microsoft YaHei"/>
        <family val="2"/>
        <charset val="134"/>
      </rPr>
      <t>男60，女55；</t>
    </r>
    <r>
      <rPr>
        <sz val="18"/>
        <color theme="0"/>
        <rFont val="Microsoft YaHei"/>
        <family val="2"/>
        <charset val="134"/>
      </rPr>
      <t xml:space="preserve">
6. </t>
    </r>
    <r>
      <rPr>
        <b/>
        <sz val="18"/>
        <color rgb="FFFFFF00"/>
        <rFont val="Microsoft YaHei"/>
        <family val="2"/>
        <charset val="134"/>
      </rPr>
      <t>该规则表中的数据可以进行修改，修改后会自动根据改后的标准计算。</t>
    </r>
    <phoneticPr fontId="18" type="noConversion"/>
  </si>
  <si>
    <t>√</t>
  </si>
  <si>
    <t>√</t>
    <phoneticPr fontId="18" type="noConversion"/>
  </si>
  <si>
    <t>周雅南</t>
    <phoneticPr fontId="18" type="noConversion"/>
  </si>
  <si>
    <t>Female</t>
    <phoneticPr fontId="18" type="noConversion"/>
  </si>
  <si>
    <t>Level5</t>
    <phoneticPr fontId="18" type="noConversion"/>
  </si>
  <si>
    <t>苏斌焰</t>
    <phoneticPr fontId="18" type="noConversion"/>
  </si>
  <si>
    <t>Level2</t>
    <phoneticPr fontId="18" type="noConversion"/>
  </si>
  <si>
    <t>借：管理费用      286930.13</t>
    <phoneticPr fontId="18" type="noConversion"/>
  </si>
  <si>
    <t>贷：应付职工薪酬      286930.13</t>
    <phoneticPr fontId="18" type="noConversion"/>
  </si>
  <si>
    <t>借：管理费用      0</t>
    <phoneticPr fontId="18" type="noConversion"/>
  </si>
  <si>
    <t>贷：应付职工薪酬      0</t>
    <phoneticPr fontId="18" type="noConversion"/>
  </si>
  <si>
    <t>-</t>
    <phoneticPr fontId="18" type="noConversion"/>
  </si>
  <si>
    <t>-</t>
    <phoneticPr fontId="18" type="noConversion"/>
  </si>
  <si>
    <t>-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</si>
</sst>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8" formatCode="&quot;¥&quot;#,##0.00;[Red]&quot;¥&quot;\-#,##0.00"/>
    <numFmt numFmtId="176" formatCode="0_);[Red]\(0\)"/>
  </numFmts>
  <fonts count="32">
    <font>
      <sz val="12"/>
      <color theme="1"/>
      <name val="等线"/>
      <family val="2"/>
      <scheme val="minor"/>
    </font>
    <font>
      <sz val="12"/>
      <color theme="1"/>
      <name val="Microsoft YaHei"/>
      <family val="2"/>
      <charset val="134"/>
    </font>
    <font>
      <sz val="12"/>
      <color theme="0"/>
      <name val="Microsoft YaHei"/>
      <family val="2"/>
      <charset val="134"/>
    </font>
    <font>
      <sz val="16"/>
      <color theme="1"/>
      <name val="Microsoft YaHei"/>
      <family val="2"/>
      <charset val="134"/>
    </font>
    <font>
      <b/>
      <sz val="12"/>
      <color theme="0"/>
      <name val="Microsoft YaHei"/>
      <family val="2"/>
      <charset val="134"/>
    </font>
    <font>
      <sz val="8"/>
      <name val="等线"/>
      <family val="2"/>
      <scheme val="minor"/>
    </font>
    <font>
      <sz val="11"/>
      <name val="Microsoft YaHei"/>
      <family val="2"/>
      <charset val="134"/>
    </font>
    <font>
      <sz val="10"/>
      <name val="Microsoft YaHei"/>
      <family val="2"/>
      <charset val="134"/>
    </font>
    <font>
      <b/>
      <sz val="24"/>
      <color theme="8" tint="-0.249977111117893"/>
      <name val="Microsoft YaHei"/>
      <family val="2"/>
      <charset val="134"/>
    </font>
    <font>
      <sz val="18"/>
      <color theme="1"/>
      <name val="Microsoft YaHei"/>
      <family val="2"/>
      <charset val="134"/>
    </font>
    <font>
      <b/>
      <u/>
      <sz val="18"/>
      <color theme="5"/>
      <name val="Microsoft YaHei"/>
      <family val="2"/>
      <charset val="134"/>
    </font>
    <font>
      <b/>
      <sz val="18"/>
      <color theme="5"/>
      <name val="Microsoft YaHei"/>
      <family val="2"/>
      <charset val="134"/>
    </font>
    <font>
      <b/>
      <sz val="20"/>
      <color theme="1"/>
      <name val="Microsoft YaHei"/>
      <family val="2"/>
      <charset val="134"/>
    </font>
    <font>
      <b/>
      <sz val="16"/>
      <color theme="0"/>
      <name val="Microsoft YaHei"/>
      <family val="2"/>
      <charset val="134"/>
    </font>
    <font>
      <sz val="18"/>
      <color theme="0"/>
      <name val="Microsoft YaHei"/>
      <family val="2"/>
      <charset val="134"/>
    </font>
    <font>
      <u/>
      <sz val="18"/>
      <color theme="7" tint="0.39997558519241921"/>
      <name val="Microsoft YaHei"/>
      <family val="2"/>
      <charset val="134"/>
    </font>
    <font>
      <b/>
      <sz val="18"/>
      <color theme="4"/>
      <name val="Microsoft YaHei"/>
      <family val="2"/>
      <charset val="134"/>
    </font>
    <font>
      <b/>
      <sz val="2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2"/>
      <color rgb="FF333333"/>
      <name val="Arial"/>
      <family val="2"/>
    </font>
    <font>
      <b/>
      <sz val="18"/>
      <color rgb="FFFFFF00"/>
      <name val="Microsoft YaHei"/>
      <family val="2"/>
      <charset val="134"/>
    </font>
    <font>
      <b/>
      <sz val="36"/>
      <color theme="1"/>
      <name val="Microsoft YaHei"/>
      <family val="2"/>
      <charset val="134"/>
    </font>
    <font>
      <sz val="12"/>
      <color theme="1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2"/>
      <color theme="1" tint="4.9989318521683403E-2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b/>
      <u/>
      <sz val="10"/>
      <color rgb="FFC00000"/>
      <name val="微软雅黑"/>
      <family val="2"/>
      <charset val="134"/>
    </font>
    <font>
      <sz val="10"/>
      <name val="微软雅黑"/>
      <family val="2"/>
      <charset val="134"/>
    </font>
    <font>
      <b/>
      <sz val="14"/>
      <color theme="4"/>
      <name val="微软雅黑"/>
      <family val="2"/>
      <charset val="134"/>
    </font>
    <font>
      <b/>
      <sz val="10"/>
      <color theme="8" tint="-0.249977111117893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/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1" fillId="0" borderId="0" xfId="0" applyFont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vertical="center" wrapText="1"/>
    </xf>
    <xf numFmtId="0" fontId="3" fillId="0" borderId="13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16" fillId="0" borderId="19" xfId="0" applyFont="1" applyBorder="1" applyAlignment="1">
      <alignment horizontal="left" vertical="center"/>
    </xf>
    <xf numFmtId="0" fontId="16" fillId="0" borderId="25" xfId="0" applyFont="1" applyBorder="1" applyAlignment="1">
      <alignment horizontal="left" vertical="center"/>
    </xf>
    <xf numFmtId="0" fontId="13" fillId="6" borderId="10" xfId="0" applyFont="1" applyFill="1" applyBorder="1" applyAlignment="1">
      <alignment horizontal="right" vertical="center"/>
    </xf>
    <xf numFmtId="0" fontId="3" fillId="4" borderId="12" xfId="0" applyFont="1" applyFill="1" applyBorder="1" applyAlignment="1">
      <alignment horizontal="right" vertical="center"/>
    </xf>
    <xf numFmtId="0" fontId="3" fillId="4" borderId="18" xfId="0" applyFont="1" applyFill="1" applyBorder="1" applyAlignment="1">
      <alignment horizontal="right" vertical="center"/>
    </xf>
    <xf numFmtId="0" fontId="19" fillId="0" borderId="0" xfId="0" applyFont="1"/>
    <xf numFmtId="8" fontId="1" fillId="0" borderId="0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76" fontId="1" fillId="0" borderId="0" xfId="0" applyNumberFormat="1" applyFont="1" applyFill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49" fontId="22" fillId="0" borderId="0" xfId="0" applyNumberFormat="1" applyFont="1" applyFill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37" xfId="0" applyFont="1" applyBorder="1" applyAlignment="1">
      <alignment horizontal="center" vertical="center"/>
    </xf>
    <xf numFmtId="0" fontId="22" fillId="0" borderId="38" xfId="0" applyFont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2" fillId="0" borderId="43" xfId="0" applyFont="1" applyBorder="1" applyAlignment="1">
      <alignment horizontal="center" vertical="center"/>
    </xf>
    <xf numFmtId="0" fontId="3" fillId="10" borderId="13" xfId="0" applyFont="1" applyFill="1" applyBorder="1" applyAlignment="1">
      <alignment horizontal="center" vertical="center"/>
    </xf>
    <xf numFmtId="0" fontId="22" fillId="0" borderId="0" xfId="0" applyFont="1" applyAlignment="1" applyProtection="1">
      <alignment horizontal="center" vertical="center"/>
      <protection locked="0"/>
    </xf>
    <xf numFmtId="0" fontId="23" fillId="8" borderId="36" xfId="0" applyFont="1" applyFill="1" applyBorder="1" applyAlignment="1" applyProtection="1">
      <alignment horizontal="center" vertical="center"/>
      <protection locked="0"/>
    </xf>
    <xf numFmtId="0" fontId="23" fillId="8" borderId="32" xfId="0" applyFont="1" applyFill="1" applyBorder="1" applyAlignment="1" applyProtection="1">
      <alignment horizontal="center" vertical="center"/>
      <protection locked="0"/>
    </xf>
    <xf numFmtId="0" fontId="23" fillId="7" borderId="32" xfId="0" applyFont="1" applyFill="1" applyBorder="1" applyAlignment="1" applyProtection="1">
      <alignment horizontal="center" vertical="center"/>
      <protection locked="0"/>
    </xf>
    <xf numFmtId="0" fontId="25" fillId="9" borderId="32" xfId="0" applyFont="1" applyFill="1" applyBorder="1" applyAlignment="1" applyProtection="1">
      <alignment horizontal="center" vertical="center"/>
      <protection locked="0"/>
    </xf>
    <xf numFmtId="0" fontId="22" fillId="0" borderId="0" xfId="0" applyFont="1" applyFill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2" fillId="0" borderId="0" xfId="0" applyFont="1" applyAlignment="1" applyProtection="1">
      <alignment horizontal="center" vertical="center"/>
    </xf>
    <xf numFmtId="0" fontId="23" fillId="11" borderId="40" xfId="0" applyFont="1" applyFill="1" applyBorder="1" applyAlignment="1" applyProtection="1">
      <alignment horizontal="center" vertical="center"/>
      <protection locked="0"/>
    </xf>
    <xf numFmtId="0" fontId="30" fillId="0" borderId="41" xfId="0" applyFont="1" applyBorder="1" applyAlignment="1" applyProtection="1">
      <alignment horizontal="center" wrapText="1"/>
    </xf>
    <xf numFmtId="0" fontId="9" fillId="0" borderId="7" xfId="0" applyFont="1" applyBorder="1" applyAlignment="1">
      <alignment horizontal="center" vertical="center"/>
    </xf>
    <xf numFmtId="0" fontId="8" fillId="0" borderId="26" xfId="0" applyNumberFormat="1" applyFont="1" applyBorder="1" applyAlignment="1">
      <alignment horizontal="center" vertical="center"/>
    </xf>
    <xf numFmtId="0" fontId="22" fillId="0" borderId="0" xfId="0" applyFont="1" applyBorder="1" applyAlignment="1" applyProtection="1">
      <alignment horizontal="left" vertical="center"/>
    </xf>
    <xf numFmtId="0" fontId="22" fillId="0" borderId="28" xfId="0" applyFont="1" applyBorder="1" applyAlignment="1">
      <alignment horizontal="left" vertical="center"/>
    </xf>
    <xf numFmtId="0" fontId="22" fillId="0" borderId="34" xfId="0" applyFont="1" applyBorder="1" applyAlignment="1">
      <alignment horizontal="left" vertical="center"/>
    </xf>
    <xf numFmtId="0" fontId="22" fillId="0" borderId="27" xfId="0" applyFont="1" applyBorder="1" applyAlignment="1">
      <alignment horizontal="left" vertical="center"/>
    </xf>
    <xf numFmtId="0" fontId="22" fillId="0" borderId="35" xfId="0" applyFont="1" applyBorder="1" applyAlignment="1">
      <alignment horizontal="left" vertical="center"/>
    </xf>
    <xf numFmtId="0" fontId="9" fillId="5" borderId="1" xfId="0" applyFont="1" applyFill="1" applyBorder="1" applyAlignment="1">
      <alignment horizontal="left" vertical="center" wrapText="1"/>
    </xf>
    <xf numFmtId="0" fontId="9" fillId="5" borderId="17" xfId="0" applyFont="1" applyFill="1" applyBorder="1" applyAlignment="1">
      <alignment horizontal="left" vertical="center" wrapText="1"/>
    </xf>
    <xf numFmtId="0" fontId="9" fillId="5" borderId="2" xfId="0" applyFont="1" applyFill="1" applyBorder="1" applyAlignment="1">
      <alignment horizontal="left" vertical="center" wrapText="1"/>
    </xf>
    <xf numFmtId="0" fontId="9" fillId="5" borderId="3" xfId="0" applyFont="1" applyFill="1" applyBorder="1" applyAlignment="1">
      <alignment horizontal="left" vertical="center" wrapText="1"/>
    </xf>
    <xf numFmtId="0" fontId="9" fillId="5" borderId="0" xfId="0" applyFont="1" applyFill="1" applyBorder="1" applyAlignment="1">
      <alignment horizontal="left" vertical="center" wrapText="1"/>
    </xf>
    <xf numFmtId="0" fontId="9" fillId="5" borderId="4" xfId="0" applyFont="1" applyFill="1" applyBorder="1" applyAlignment="1">
      <alignment horizontal="left" vertical="center" wrapText="1"/>
    </xf>
    <xf numFmtId="0" fontId="9" fillId="5" borderId="5" xfId="0" applyFont="1" applyFill="1" applyBorder="1" applyAlignment="1">
      <alignment horizontal="left" vertical="center" wrapText="1"/>
    </xf>
    <xf numFmtId="0" fontId="9" fillId="5" borderId="22" xfId="0" applyFont="1" applyFill="1" applyBorder="1" applyAlignment="1">
      <alignment horizontal="left" vertical="center" wrapText="1"/>
    </xf>
    <xf numFmtId="0" fontId="9" fillId="5" borderId="6" xfId="0" applyFont="1" applyFill="1" applyBorder="1" applyAlignment="1">
      <alignment horizontal="left" vertical="center" wrapText="1"/>
    </xf>
    <xf numFmtId="0" fontId="12" fillId="3" borderId="20" xfId="0" applyFont="1" applyFill="1" applyBorder="1" applyAlignment="1">
      <alignment horizontal="center" vertical="center"/>
    </xf>
    <xf numFmtId="0" fontId="12" fillId="3" borderId="21" xfId="0" applyFont="1" applyFill="1" applyBorder="1" applyAlignment="1">
      <alignment horizontal="center" vertical="center"/>
    </xf>
    <xf numFmtId="0" fontId="13" fillId="6" borderId="23" xfId="0" applyFont="1" applyFill="1" applyBorder="1" applyAlignment="1">
      <alignment horizontal="right" vertical="center"/>
    </xf>
    <xf numFmtId="0" fontId="13" fillId="6" borderId="24" xfId="0" applyFont="1" applyFill="1" applyBorder="1" applyAlignment="1">
      <alignment horizontal="right" vertical="center"/>
    </xf>
    <xf numFmtId="0" fontId="25" fillId="9" borderId="32" xfId="0" applyFont="1" applyFill="1" applyBorder="1" applyAlignment="1" applyProtection="1">
      <alignment horizontal="center" vertical="center"/>
      <protection locked="0"/>
    </xf>
    <xf numFmtId="0" fontId="25" fillId="9" borderId="33" xfId="0" applyFont="1" applyFill="1" applyBorder="1" applyAlignment="1" applyProtection="1">
      <alignment horizontal="center" vertical="center"/>
      <protection locked="0"/>
    </xf>
    <xf numFmtId="0" fontId="24" fillId="4" borderId="39" xfId="0" applyFont="1" applyFill="1" applyBorder="1" applyAlignment="1" applyProtection="1">
      <alignment horizontal="center" vertical="center" wrapText="1"/>
    </xf>
    <xf numFmtId="0" fontId="24" fillId="4" borderId="30" xfId="0" applyFont="1" applyFill="1" applyBorder="1" applyAlignment="1" applyProtection="1">
      <alignment horizontal="center" vertical="center" wrapText="1"/>
    </xf>
    <xf numFmtId="0" fontId="24" fillId="4" borderId="31" xfId="0" applyFont="1" applyFill="1" applyBorder="1" applyAlignment="1" applyProtection="1">
      <alignment horizontal="center" vertical="center" wrapText="1"/>
    </xf>
    <xf numFmtId="0" fontId="26" fillId="4" borderId="29" xfId="0" applyFont="1" applyFill="1" applyBorder="1" applyAlignment="1" applyProtection="1">
      <alignment horizontal="left" vertical="center" wrapText="1"/>
    </xf>
    <xf numFmtId="0" fontId="26" fillId="4" borderId="30" xfId="0" applyFont="1" applyFill="1" applyBorder="1" applyAlignment="1" applyProtection="1">
      <alignment horizontal="left" vertical="center" wrapText="1"/>
    </xf>
    <xf numFmtId="0" fontId="26" fillId="4" borderId="31" xfId="0" applyFont="1" applyFill="1" applyBorder="1" applyAlignment="1" applyProtection="1">
      <alignment horizontal="left" vertical="center" wrapText="1"/>
    </xf>
    <xf numFmtId="0" fontId="21" fillId="3" borderId="10" xfId="0" applyFont="1" applyFill="1" applyBorder="1" applyAlignment="1">
      <alignment horizontal="center" vertical="center"/>
    </xf>
    <xf numFmtId="0" fontId="21" fillId="3" borderId="15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left" vertical="center" wrapText="1"/>
    </xf>
    <xf numFmtId="0" fontId="14" fillId="2" borderId="11" xfId="0" applyFont="1" applyFill="1" applyBorder="1" applyAlignment="1">
      <alignment horizontal="left" vertical="center" wrapText="1"/>
    </xf>
    <xf numFmtId="0" fontId="14" fillId="2" borderId="16" xfId="0" applyFont="1" applyFill="1" applyBorder="1" applyAlignment="1">
      <alignment horizontal="left" vertical="center" wrapText="1"/>
    </xf>
    <xf numFmtId="0" fontId="14" fillId="2" borderId="14" xfId="0" applyFont="1" applyFill="1" applyBorder="1" applyAlignment="1">
      <alignment horizontal="left" vertical="center" wrapText="1"/>
    </xf>
    <xf numFmtId="0" fontId="9" fillId="0" borderId="12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3" fillId="2" borderId="44" xfId="0" applyFont="1" applyFill="1" applyBorder="1" applyAlignment="1">
      <alignment horizontal="right" vertical="center"/>
    </xf>
    <xf numFmtId="0" fontId="13" fillId="2" borderId="45" xfId="0" applyFont="1" applyFill="1" applyBorder="1" applyAlignment="1">
      <alignment horizontal="right" vertical="center"/>
    </xf>
    <xf numFmtId="0" fontId="21" fillId="3" borderId="11" xfId="0" applyFont="1" applyFill="1" applyBorder="1" applyAlignment="1">
      <alignment horizontal="center" vertical="center"/>
    </xf>
    <xf numFmtId="9" fontId="9" fillId="0" borderId="13" xfId="0" applyNumberFormat="1" applyFont="1" applyBorder="1" applyAlignment="1">
      <alignment horizontal="center" vertical="center"/>
    </xf>
    <xf numFmtId="0" fontId="9" fillId="0" borderId="46" xfId="0" applyFont="1" applyBorder="1" applyAlignment="1">
      <alignment horizontal="center" vertical="center"/>
    </xf>
    <xf numFmtId="0" fontId="9" fillId="0" borderId="47" xfId="0" applyFont="1" applyBorder="1" applyAlignment="1">
      <alignment horizontal="center" vertical="center"/>
    </xf>
    <xf numFmtId="0" fontId="9" fillId="0" borderId="25" xfId="0" applyNumberFormat="1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11</xdr:row>
          <xdr:rowOff>723900</xdr:rowOff>
        </xdr:from>
        <xdr:to>
          <xdr:col>4</xdr:col>
          <xdr:colOff>1238250</xdr:colOff>
          <xdr:row>12</xdr:row>
          <xdr:rowOff>704850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7C1C2CC-0E1B-B64A-9867-F45240F17E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14</xdr:row>
          <xdr:rowOff>85725</xdr:rowOff>
        </xdr:from>
        <xdr:to>
          <xdr:col>4</xdr:col>
          <xdr:colOff>1219200</xdr:colOff>
          <xdr:row>15</xdr:row>
          <xdr:rowOff>352425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4C0826C2-5971-8F43-8D45-6577E3FED3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zh-CN" altLang="en-US" sz="2000" b="1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编制会计分录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</xdr:row>
          <xdr:rowOff>533400</xdr:rowOff>
        </xdr:from>
        <xdr:to>
          <xdr:col>2</xdr:col>
          <xdr:colOff>295275</xdr:colOff>
          <xdr:row>1</xdr:row>
          <xdr:rowOff>1057275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819150</xdr:colOff>
          <xdr:row>1</xdr:row>
          <xdr:rowOff>628650</xdr:rowOff>
        </xdr:from>
        <xdr:to>
          <xdr:col>3</xdr:col>
          <xdr:colOff>885825</xdr:colOff>
          <xdr:row>1</xdr:row>
          <xdr:rowOff>1657350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1</xdr:row>
          <xdr:rowOff>1238250</xdr:rowOff>
        </xdr:from>
        <xdr:to>
          <xdr:col>2</xdr:col>
          <xdr:colOff>295275</xdr:colOff>
          <xdr:row>1</xdr:row>
          <xdr:rowOff>1752600</xdr:rowOff>
        </xdr:to>
        <xdr:sp macro="" textlink="">
          <xdr:nvSpPr>
            <xdr:cNvPr id="8898" name="编制会计分录" hidden="1">
              <a:extLst>
                <a:ext uri="{63B3BB69-23CF-44E3-9099-C40C66FF867C}">
                  <a14:compatExt spid="_x0000_s8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/>
  </sheetPr>
  <dimension ref="A1:DB41"/>
  <sheetViews>
    <sheetView showGridLines="0" topLeftCell="B1" zoomScale="50" zoomScaleNormal="50" zoomScaleSheetLayoutView="86" workbookViewId="0">
      <pane xSplit="1" topLeftCell="C1" activePane="topRight" state="frozen"/>
      <selection activeCell="B1" sqref="B1"/>
      <selection pane="topRight" activeCell="G10" sqref="G10"/>
    </sheetView>
  </sheetViews>
  <sheetFormatPr defaultColWidth="25.875" defaultRowHeight="30" customHeight="1"/>
  <cols>
    <col min="1" max="1" width="25.875" style="9"/>
    <col min="2" max="2" width="36.5" style="9" customWidth="1"/>
    <col min="3" max="3" width="68" style="9" customWidth="1"/>
    <col min="4" max="4" width="25.875" style="9"/>
    <col min="5" max="5" width="17.125" style="9" customWidth="1"/>
    <col min="6" max="9" width="25.875" style="9"/>
    <col min="10" max="10" width="73.375" style="9" customWidth="1"/>
    <col min="11" max="106" width="25.875" style="10"/>
    <col min="107" max="16384" width="25.875" style="1"/>
  </cols>
  <sheetData>
    <row r="1" spans="1:10" s="9" customFormat="1" ht="30" customHeight="1"/>
    <row r="2" spans="1:10" s="9" customFormat="1" ht="29.1" customHeight="1" thickBot="1"/>
    <row r="3" spans="1:10" s="10" customFormat="1" ht="57" customHeight="1">
      <c r="A3" s="9"/>
      <c r="B3" s="59" t="s">
        <v>14</v>
      </c>
      <c r="C3" s="60"/>
      <c r="D3" s="50" t="s">
        <v>183</v>
      </c>
      <c r="E3" s="51"/>
      <c r="F3" s="51"/>
      <c r="G3" s="51"/>
      <c r="H3" s="51"/>
      <c r="I3" s="51"/>
      <c r="J3" s="52"/>
    </row>
    <row r="4" spans="1:10" s="10" customFormat="1" ht="41.1" customHeight="1">
      <c r="A4" s="9"/>
      <c r="B4" s="19" t="s">
        <v>22</v>
      </c>
      <c r="C4" s="13">
        <v>1712322</v>
      </c>
      <c r="D4" s="53"/>
      <c r="E4" s="54"/>
      <c r="F4" s="54"/>
      <c r="G4" s="54"/>
      <c r="H4" s="54"/>
      <c r="I4" s="54"/>
      <c r="J4" s="55"/>
    </row>
    <row r="5" spans="1:10" s="10" customFormat="1" ht="42" customHeight="1">
      <c r="A5" s="9"/>
      <c r="B5" s="19" t="s">
        <v>10</v>
      </c>
      <c r="C5" s="12" t="str">
        <f>VLOOKUP($C$4,员工信息!$A$2:$G$158,2,FALSE)</f>
        <v>安治东</v>
      </c>
      <c r="D5" s="53"/>
      <c r="E5" s="54"/>
      <c r="F5" s="54"/>
      <c r="G5" s="54"/>
      <c r="H5" s="54"/>
      <c r="I5" s="54"/>
      <c r="J5" s="55"/>
    </row>
    <row r="6" spans="1:10" s="10" customFormat="1" ht="39" customHeight="1">
      <c r="A6" s="9"/>
      <c r="B6" s="19" t="s">
        <v>178</v>
      </c>
      <c r="C6" s="12">
        <f>VLOOKUP($C$4,员工信息!$A$2:$G$158,3,FALSE)</f>
        <v>1998</v>
      </c>
      <c r="D6" s="53"/>
      <c r="E6" s="54"/>
      <c r="F6" s="54"/>
      <c r="G6" s="54"/>
      <c r="H6" s="54"/>
      <c r="I6" s="54"/>
      <c r="J6" s="55"/>
    </row>
    <row r="7" spans="1:10" s="10" customFormat="1" ht="41.1" customHeight="1">
      <c r="A7" s="9"/>
      <c r="B7" s="19" t="s">
        <v>12</v>
      </c>
      <c r="C7" s="12" t="str">
        <f>VLOOKUP($C$4,员工信息!$A$2:$G$158,4,FALSE)</f>
        <v>Male</v>
      </c>
      <c r="D7" s="53"/>
      <c r="E7" s="54"/>
      <c r="F7" s="54"/>
      <c r="G7" s="54"/>
      <c r="H7" s="54"/>
      <c r="I7" s="54"/>
      <c r="J7" s="55"/>
    </row>
    <row r="8" spans="1:10" s="10" customFormat="1" ht="36.950000000000003" customHeight="1" thickBot="1">
      <c r="A8" s="9"/>
      <c r="B8" s="19" t="s">
        <v>1</v>
      </c>
      <c r="C8" s="12" t="str">
        <f>VLOOKUP($C$4,员工信息!$A$2:$G$158,5,FALSE)</f>
        <v>Level1</v>
      </c>
      <c r="D8" s="56"/>
      <c r="E8" s="57"/>
      <c r="F8" s="57"/>
      <c r="G8" s="57"/>
      <c r="H8" s="57"/>
      <c r="I8" s="57"/>
      <c r="J8" s="58"/>
    </row>
    <row r="9" spans="1:10" s="10" customFormat="1" ht="41.1" customHeight="1">
      <c r="A9" s="9"/>
      <c r="B9" s="19" t="s">
        <v>0</v>
      </c>
      <c r="C9" s="12">
        <f>VLOOKUP($C$4,员工信息!$A$2:$G$158,6,FALSE)</f>
        <v>80</v>
      </c>
      <c r="D9" s="9"/>
      <c r="E9" s="9"/>
      <c r="F9" s="9"/>
      <c r="G9" s="9"/>
      <c r="H9" s="9"/>
      <c r="I9" s="9"/>
      <c r="J9" s="9"/>
    </row>
    <row r="10" spans="1:10" s="10" customFormat="1" ht="39" customHeight="1">
      <c r="A10" s="9"/>
      <c r="B10" s="19" t="s">
        <v>11</v>
      </c>
      <c r="C10" s="12">
        <f>VLOOKUP($C$4,员工信息!$A$2:$G$158,7,FALSE)</f>
        <v>2020</v>
      </c>
      <c r="D10" s="9"/>
      <c r="E10" s="9"/>
      <c r="F10" s="21"/>
      <c r="G10" s="9"/>
      <c r="H10" s="9"/>
      <c r="I10" s="9"/>
      <c r="J10" s="9"/>
    </row>
    <row r="11" spans="1:10" s="10" customFormat="1" ht="42" customHeight="1" thickBot="1">
      <c r="A11" s="9"/>
      <c r="B11" s="20" t="s">
        <v>13</v>
      </c>
      <c r="C11" s="32">
        <v>2025</v>
      </c>
      <c r="D11" s="9"/>
      <c r="E11" s="9"/>
      <c r="F11" s="9"/>
      <c r="G11" s="9"/>
      <c r="H11" s="9"/>
      <c r="I11" s="9"/>
      <c r="J11" s="9"/>
    </row>
    <row r="12" spans="1:10" s="10" customFormat="1" ht="59.1" customHeight="1" thickBot="1">
      <c r="A12" s="9"/>
      <c r="B12" s="18" t="str">
        <f>C11&amp;"年发生额："</f>
        <v>2025年发生额：</v>
      </c>
      <c r="C12" s="14" t="s">
        <v>212</v>
      </c>
      <c r="D12" s="9"/>
      <c r="E12" s="9"/>
      <c r="G12" s="9"/>
      <c r="H12" s="9"/>
      <c r="I12" s="9"/>
      <c r="J12" s="9"/>
    </row>
    <row r="13" spans="1:10" s="10" customFormat="1" ht="59.1" customHeight="1" thickBot="1">
      <c r="A13" s="9"/>
      <c r="B13" s="18" t="str">
        <f>C11&amp;"年计提利息："</f>
        <v>2025年计提利息：</v>
      </c>
      <c r="C13" s="44" t="s">
        <v>213</v>
      </c>
      <c r="D13" s="9"/>
      <c r="E13" s="9"/>
      <c r="G13" s="9"/>
      <c r="H13" s="9"/>
      <c r="I13" s="9"/>
      <c r="J13" s="9"/>
    </row>
    <row r="14" spans="1:10" s="10" customFormat="1" ht="66" customHeight="1">
      <c r="A14" s="9"/>
      <c r="B14" s="18" t="str">
        <f>"截止到"&amp;C11&amp;"年累计总金额："</f>
        <v>截止到2025年累计总金额：</v>
      </c>
      <c r="C14" s="15" t="s">
        <v>213</v>
      </c>
      <c r="D14" s="9"/>
      <c r="E14" s="9"/>
      <c r="F14" s="9"/>
      <c r="G14" s="9"/>
      <c r="H14" s="9"/>
      <c r="I14" s="9"/>
      <c r="J14" s="9"/>
    </row>
    <row r="15" spans="1:10" s="10" customFormat="1" ht="30" customHeight="1">
      <c r="A15" s="9"/>
      <c r="B15" s="61" t="str">
        <f>C11&amp;"年计提会计分录："</f>
        <v>2025年计提会计分录：</v>
      </c>
      <c r="C15" s="16" t="s">
        <v>214</v>
      </c>
      <c r="D15" s="9"/>
      <c r="E15" s="9"/>
      <c r="F15" s="9"/>
      <c r="G15" s="9"/>
      <c r="H15" s="9"/>
      <c r="I15" s="9"/>
      <c r="J15" s="9"/>
    </row>
    <row r="16" spans="1:10" s="10" customFormat="1" ht="30" customHeight="1" thickBot="1">
      <c r="A16" s="9"/>
      <c r="B16" s="62"/>
      <c r="C16" s="17" t="s">
        <v>196</v>
      </c>
      <c r="D16" s="9"/>
      <c r="E16" s="9"/>
      <c r="F16" s="9"/>
      <c r="G16" s="9"/>
      <c r="H16" s="9"/>
      <c r="I16" s="9"/>
      <c r="J16" s="9"/>
    </row>
    <row r="17" spans="1:10" s="10" customFormat="1" ht="30" customHeight="1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s="10" customFormat="1" ht="30" customHeight="1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s="10" customFormat="1" ht="30" customHeight="1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s="10" customFormat="1" ht="81.95" customHeight="1">
      <c r="A20" s="9"/>
      <c r="B20" s="11"/>
      <c r="C20" s="11"/>
      <c r="D20" s="11"/>
      <c r="E20" s="11"/>
    </row>
    <row r="21" spans="1:10" s="10" customFormat="1" ht="54" customHeight="1">
      <c r="A21" s="9"/>
    </row>
    <row r="22" spans="1:10" s="10" customFormat="1" ht="41.1" customHeight="1">
      <c r="A22" s="9"/>
    </row>
    <row r="23" spans="1:10" s="10" customFormat="1" ht="36" customHeight="1">
      <c r="A23" s="9"/>
    </row>
    <row r="24" spans="1:10" s="10" customFormat="1" ht="38.1" customHeight="1">
      <c r="A24" s="9"/>
    </row>
    <row r="25" spans="1:10" s="10" customFormat="1" ht="35.1" customHeight="1">
      <c r="A25" s="9"/>
    </row>
    <row r="26" spans="1:10" s="10" customFormat="1" ht="41.1" customHeight="1">
      <c r="A26" s="9"/>
    </row>
    <row r="27" spans="1:10" s="10" customFormat="1" ht="30" customHeight="1">
      <c r="A27" s="9"/>
      <c r="B27" s="9"/>
      <c r="C27" s="9"/>
      <c r="D27" s="9"/>
      <c r="E27" s="9"/>
      <c r="F27" s="9"/>
      <c r="G27" s="9"/>
      <c r="H27" s="9"/>
      <c r="I27" s="9"/>
      <c r="J27" s="9"/>
    </row>
    <row r="28" spans="1:10" s="10" customFormat="1" ht="30" customHeight="1">
      <c r="A28" s="9"/>
      <c r="B28" s="9"/>
      <c r="C28" s="9"/>
      <c r="D28" s="9"/>
      <c r="E28" s="9"/>
      <c r="F28" s="9"/>
      <c r="G28" s="9"/>
      <c r="H28" s="9"/>
      <c r="I28" s="9"/>
      <c r="J28" s="9"/>
    </row>
    <row r="29" spans="1:10" s="10" customFormat="1" ht="30" customHeight="1">
      <c r="A29" s="9"/>
      <c r="B29" s="9"/>
      <c r="C29" s="9"/>
      <c r="D29" s="9"/>
      <c r="E29" s="9"/>
      <c r="F29" s="9"/>
      <c r="G29" s="9"/>
      <c r="H29" s="9"/>
      <c r="I29" s="9"/>
      <c r="J29" s="9"/>
    </row>
    <row r="30" spans="1:10" s="10" customFormat="1" ht="30" customHeight="1">
      <c r="A30" s="9"/>
      <c r="B30" s="9"/>
      <c r="C30" s="9"/>
      <c r="D30" s="9"/>
      <c r="E30" s="9"/>
      <c r="F30" s="9"/>
      <c r="G30" s="9"/>
      <c r="H30" s="9"/>
      <c r="I30" s="9"/>
      <c r="J30" s="9"/>
    </row>
    <row r="31" spans="1:10" s="10" customFormat="1" ht="30" customHeight="1">
      <c r="A31" s="9"/>
      <c r="B31" s="9"/>
      <c r="C31" s="9"/>
      <c r="D31" s="9"/>
      <c r="E31" s="9"/>
      <c r="F31" s="9"/>
      <c r="G31" s="9"/>
      <c r="H31" s="9"/>
      <c r="I31" s="9"/>
      <c r="J31" s="9"/>
    </row>
    <row r="32" spans="1:10" s="10" customFormat="1" ht="30" customHeight="1">
      <c r="A32" s="9"/>
      <c r="B32" s="9"/>
      <c r="C32" s="9"/>
      <c r="D32" s="9"/>
      <c r="E32" s="9"/>
      <c r="F32" s="9"/>
      <c r="G32" s="9"/>
      <c r="H32" s="9"/>
      <c r="I32" s="9"/>
      <c r="J32" s="9"/>
    </row>
    <row r="33" spans="1:10" s="10" customFormat="1" ht="30" customHeight="1">
      <c r="A33" s="9"/>
      <c r="B33" s="9"/>
      <c r="C33" s="9"/>
      <c r="D33" s="9"/>
      <c r="E33" s="9"/>
      <c r="F33" s="9"/>
      <c r="G33" s="9"/>
      <c r="H33" s="9"/>
      <c r="I33" s="9"/>
      <c r="J33" s="9"/>
    </row>
    <row r="34" spans="1:10" s="10" customFormat="1" ht="30" customHeight="1">
      <c r="A34" s="9"/>
      <c r="B34" s="9"/>
      <c r="C34" s="9"/>
      <c r="D34" s="9"/>
      <c r="E34" s="9"/>
      <c r="F34" s="9"/>
      <c r="G34" s="9"/>
      <c r="H34" s="9"/>
      <c r="I34" s="9"/>
      <c r="J34" s="9"/>
    </row>
    <row r="35" spans="1:10" s="10" customFormat="1" ht="30" customHeight="1">
      <c r="A35" s="9"/>
      <c r="B35" s="9"/>
      <c r="C35" s="9"/>
      <c r="D35" s="9"/>
      <c r="E35" s="9"/>
      <c r="F35" s="9"/>
      <c r="G35" s="9"/>
      <c r="H35" s="9"/>
      <c r="I35" s="9"/>
      <c r="J35" s="9"/>
    </row>
    <row r="36" spans="1:10" s="10" customFormat="1" ht="30" customHeight="1">
      <c r="A36" s="9"/>
      <c r="B36" s="9"/>
      <c r="C36" s="9"/>
      <c r="D36" s="9"/>
      <c r="E36" s="9"/>
      <c r="F36" s="9"/>
      <c r="G36" s="9"/>
      <c r="H36" s="9"/>
      <c r="I36" s="9"/>
      <c r="J36" s="9"/>
    </row>
    <row r="37" spans="1:10" s="10" customFormat="1" ht="30" customHeight="1">
      <c r="A37" s="9"/>
      <c r="B37" s="9"/>
      <c r="C37" s="9"/>
      <c r="D37" s="9"/>
      <c r="E37" s="9"/>
      <c r="F37" s="9"/>
      <c r="G37" s="9"/>
      <c r="H37" s="9"/>
      <c r="I37" s="9"/>
      <c r="J37" s="9"/>
    </row>
    <row r="38" spans="1:10" s="10" customFormat="1" ht="30" customHeight="1">
      <c r="A38" s="9"/>
      <c r="B38" s="9"/>
      <c r="C38" s="9"/>
      <c r="D38" s="9"/>
      <c r="E38" s="9"/>
      <c r="F38" s="9"/>
      <c r="G38" s="9"/>
      <c r="H38" s="9"/>
      <c r="I38" s="9"/>
      <c r="J38" s="9"/>
    </row>
    <row r="39" spans="1:10" s="10" customFormat="1" ht="30" customHeight="1">
      <c r="A39" s="9"/>
      <c r="B39" s="9"/>
      <c r="C39" s="9"/>
      <c r="D39" s="9"/>
      <c r="E39" s="9"/>
      <c r="F39" s="9"/>
      <c r="G39" s="9"/>
      <c r="H39" s="9"/>
      <c r="I39" s="9"/>
      <c r="J39" s="9"/>
    </row>
    <row r="40" spans="1:10" s="10" customFormat="1" ht="30" customHeight="1">
      <c r="A40" s="9"/>
      <c r="B40" s="9"/>
      <c r="C40" s="9"/>
      <c r="D40" s="9"/>
      <c r="E40" s="9"/>
      <c r="F40" s="9"/>
      <c r="G40" s="9"/>
      <c r="H40" s="9"/>
      <c r="I40" s="9"/>
      <c r="J40" s="9"/>
    </row>
    <row r="41" spans="1:10" s="10" customFormat="1" ht="30" customHeight="1">
      <c r="A41" s="9"/>
      <c r="B41" s="9"/>
      <c r="C41" s="9"/>
      <c r="D41" s="9"/>
      <c r="E41" s="9"/>
      <c r="F41" s="9"/>
      <c r="G41" s="9"/>
      <c r="H41" s="9"/>
      <c r="I41" s="9"/>
      <c r="J41" s="9"/>
    </row>
  </sheetData>
  <mergeCells count="3">
    <mergeCell ref="D3:J8"/>
    <mergeCell ref="B3:C3"/>
    <mergeCell ref="B15:B16"/>
  </mergeCells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efinedBenefitPlans">
                <anchor moveWithCells="1" sizeWithCells="1">
                  <from>
                    <xdr:col>3</xdr:col>
                    <xdr:colOff>409575</xdr:colOff>
                    <xdr:row>11</xdr:row>
                    <xdr:rowOff>723900</xdr:rowOff>
                  </from>
                  <to>
                    <xdr:col>4</xdr:col>
                    <xdr:colOff>1238250</xdr:colOff>
                    <xdr:row>12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accountingEntry">
                <anchor moveWithCells="1" sizeWithCells="1">
                  <from>
                    <xdr:col>3</xdr:col>
                    <xdr:colOff>409575</xdr:colOff>
                    <xdr:row>14</xdr:row>
                    <xdr:rowOff>85725</xdr:rowOff>
                  </from>
                  <to>
                    <xdr:col>4</xdr:col>
                    <xdr:colOff>1219200</xdr:colOff>
                    <xdr:row>15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员工信息!$A$2:$A$158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/>
  </sheetPr>
  <dimension ref="A1:N700"/>
  <sheetViews>
    <sheetView showGridLines="0" tabSelected="1" zoomScale="77" zoomScaleNormal="77" workbookViewId="0">
      <pane xSplit="4" topLeftCell="E1" activePane="topRight" state="frozen"/>
      <selection pane="topRight" activeCell="D9" sqref="D9"/>
    </sheetView>
  </sheetViews>
  <sheetFormatPr defaultRowHeight="17.25"/>
  <cols>
    <col min="1" max="1" width="12.125" style="31" customWidth="1"/>
    <col min="2" max="2" width="15.875" style="29" customWidth="1"/>
    <col min="3" max="4" width="15.125" style="25" customWidth="1"/>
    <col min="5" max="5" width="14.625" style="25" customWidth="1"/>
    <col min="6" max="6" width="11.25" style="25" customWidth="1"/>
    <col min="7" max="7" width="13.375" style="25" customWidth="1"/>
    <col min="8" max="9" width="12.125" style="25" customWidth="1"/>
    <col min="10" max="10" width="21.25" style="25" customWidth="1"/>
    <col min="11" max="11" width="19.125" style="25" customWidth="1"/>
    <col min="12" max="12" width="18.375" style="25" customWidth="1"/>
    <col min="13" max="13" width="39.375" style="48" customWidth="1"/>
    <col min="14" max="14" width="44.75" style="49" customWidth="1"/>
    <col min="15" max="16384" width="9" style="23"/>
  </cols>
  <sheetData>
    <row r="1" spans="1:14" s="39" customFormat="1" ht="18" thickBot="1">
      <c r="A1" s="38"/>
      <c r="M1" s="45"/>
      <c r="N1" s="45"/>
    </row>
    <row r="2" spans="1:14" s="40" customFormat="1" ht="156" customHeight="1" thickBot="1">
      <c r="A2" s="42" t="s">
        <v>194</v>
      </c>
      <c r="B2" s="65" t="s">
        <v>192</v>
      </c>
      <c r="C2" s="66"/>
      <c r="D2" s="67"/>
      <c r="E2" s="68" t="s">
        <v>197</v>
      </c>
      <c r="F2" s="69"/>
      <c r="G2" s="69"/>
      <c r="H2" s="69"/>
      <c r="I2" s="69"/>
      <c r="J2" s="69"/>
      <c r="K2" s="69"/>
      <c r="L2" s="69"/>
      <c r="M2" s="69"/>
      <c r="N2" s="70"/>
    </row>
    <row r="3" spans="1:14" s="33" customFormat="1" ht="26.25" customHeight="1" thickBot="1">
      <c r="A3" s="41" t="s">
        <v>202</v>
      </c>
      <c r="B3" s="34" t="s">
        <v>185</v>
      </c>
      <c r="C3" s="35" t="s">
        <v>184</v>
      </c>
      <c r="D3" s="35" t="s">
        <v>186</v>
      </c>
      <c r="E3" s="36" t="s">
        <v>179</v>
      </c>
      <c r="F3" s="36" t="s">
        <v>17</v>
      </c>
      <c r="G3" s="36" t="s">
        <v>18</v>
      </c>
      <c r="H3" s="36" t="s">
        <v>19</v>
      </c>
      <c r="I3" s="36" t="s">
        <v>187</v>
      </c>
      <c r="J3" s="37" t="s">
        <v>189</v>
      </c>
      <c r="K3" s="37" t="s">
        <v>188</v>
      </c>
      <c r="L3" s="37" t="s">
        <v>190</v>
      </c>
      <c r="M3" s="63" t="s">
        <v>191</v>
      </c>
      <c r="N3" s="64"/>
    </row>
    <row r="4" spans="1:14">
      <c r="A4" s="30" t="s">
        <v>201</v>
      </c>
      <c r="B4" s="28">
        <v>1712480</v>
      </c>
      <c r="C4" s="26" t="s">
        <v>203</v>
      </c>
      <c r="D4" s="27">
        <v>2018</v>
      </c>
      <c r="E4" s="27">
        <v>1968</v>
      </c>
      <c r="F4" s="27" t="s">
        <v>204</v>
      </c>
      <c r="G4" s="27" t="s">
        <v>205</v>
      </c>
      <c r="H4" s="27">
        <v>80</v>
      </c>
      <c r="I4" s="27">
        <v>1990</v>
      </c>
      <c r="J4" s="27">
        <v>112722.55</v>
      </c>
      <c r="K4" s="27">
        <v>174207.58</v>
      </c>
      <c r="L4" s="27">
        <v>2029005.97</v>
      </c>
      <c r="M4" s="46" t="s">
        <v>208</v>
      </c>
      <c r="N4" s="47" t="s">
        <v>209</v>
      </c>
    </row>
    <row r="5" spans="1:14">
      <c r="A5" s="31" t="s">
        <v>201</v>
      </c>
      <c r="B5" s="30">
        <v>1712440</v>
      </c>
      <c r="C5" s="25" t="s">
        <v>206</v>
      </c>
      <c r="D5" s="25">
        <v>2018</v>
      </c>
      <c r="E5" s="25">
        <v>1986</v>
      </c>
      <c r="F5" s="25" t="s">
        <v>204</v>
      </c>
      <c r="G5" s="25" t="s">
        <v>207</v>
      </c>
      <c r="H5" s="25">
        <v>80</v>
      </c>
      <c r="I5" s="25">
        <v>2008</v>
      </c>
      <c r="J5" s="25">
        <v>0</v>
      </c>
      <c r="K5" s="25">
        <v>0</v>
      </c>
      <c r="L5" s="25">
        <v>0</v>
      </c>
      <c r="M5" s="48" t="s">
        <v>210</v>
      </c>
      <c r="N5" s="49" t="s">
        <v>211</v>
      </c>
    </row>
    <row r="6" spans="1:14">
      <c r="A6" s="30" t="s">
        <v>201</v>
      </c>
    </row>
    <row r="7" spans="1:14">
      <c r="A7" s="30" t="s">
        <v>201</v>
      </c>
    </row>
    <row r="8" spans="1:14">
      <c r="A8" s="30" t="s">
        <v>201</v>
      </c>
    </row>
    <row r="9" spans="1:14">
      <c r="A9" s="30" t="s">
        <v>201</v>
      </c>
    </row>
    <row r="10" spans="1:14">
      <c r="A10" s="30" t="s">
        <v>195</v>
      </c>
    </row>
    <row r="11" spans="1:14">
      <c r="A11" s="30" t="s">
        <v>195</v>
      </c>
    </row>
    <row r="12" spans="1:14">
      <c r="A12" s="30" t="s">
        <v>195</v>
      </c>
    </row>
    <row r="13" spans="1:14">
      <c r="A13" s="30" t="s">
        <v>201</v>
      </c>
    </row>
    <row r="14" spans="1:14">
      <c r="A14" s="30" t="s">
        <v>201</v>
      </c>
    </row>
    <row r="15" spans="1:14">
      <c r="A15" s="30" t="s">
        <v>201</v>
      </c>
    </row>
    <row r="16" spans="1:14">
      <c r="A16" s="30" t="s">
        <v>201</v>
      </c>
    </row>
    <row r="17" spans="1:1">
      <c r="A17" s="30" t="s">
        <v>201</v>
      </c>
    </row>
    <row r="18" spans="1:1">
      <c r="A18" s="30" t="s">
        <v>201</v>
      </c>
    </row>
    <row r="19" spans="1:1">
      <c r="A19" s="30" t="s">
        <v>201</v>
      </c>
    </row>
    <row r="20" spans="1:1">
      <c r="A20" s="30" t="s">
        <v>201</v>
      </c>
    </row>
    <row r="21" spans="1:1">
      <c r="A21" s="30" t="s">
        <v>201</v>
      </c>
    </row>
    <row r="22" spans="1:1">
      <c r="A22" s="30" t="s">
        <v>201</v>
      </c>
    </row>
    <row r="23" spans="1:1">
      <c r="A23" s="30" t="s">
        <v>201</v>
      </c>
    </row>
    <row r="24" spans="1:1">
      <c r="A24" s="30" t="s">
        <v>201</v>
      </c>
    </row>
    <row r="25" spans="1:1">
      <c r="A25" s="30" t="s">
        <v>201</v>
      </c>
    </row>
    <row r="26" spans="1:1">
      <c r="A26" s="30" t="s">
        <v>201</v>
      </c>
    </row>
    <row r="27" spans="1:1">
      <c r="A27" s="30" t="s">
        <v>201</v>
      </c>
    </row>
    <row r="28" spans="1:1">
      <c r="A28" s="30" t="s">
        <v>201</v>
      </c>
    </row>
    <row r="29" spans="1:1">
      <c r="A29" s="30" t="s">
        <v>201</v>
      </c>
    </row>
    <row r="30" spans="1:1">
      <c r="A30" s="30" t="s">
        <v>201</v>
      </c>
    </row>
    <row r="31" spans="1:1">
      <c r="A31" s="30" t="s">
        <v>201</v>
      </c>
    </row>
    <row r="32" spans="1:1">
      <c r="A32" s="30" t="s">
        <v>201</v>
      </c>
    </row>
    <row r="33" spans="1:1">
      <c r="A33" s="30" t="s">
        <v>201</v>
      </c>
    </row>
    <row r="34" spans="1:1">
      <c r="A34" s="30" t="s">
        <v>201</v>
      </c>
    </row>
    <row r="35" spans="1:1">
      <c r="A35" s="30" t="s">
        <v>201</v>
      </c>
    </row>
    <row r="36" spans="1:1">
      <c r="A36" s="30" t="s">
        <v>201</v>
      </c>
    </row>
    <row r="37" spans="1:1">
      <c r="A37" s="30" t="s">
        <v>201</v>
      </c>
    </row>
    <row r="38" spans="1:1">
      <c r="A38" s="30" t="s">
        <v>201</v>
      </c>
    </row>
    <row r="39" spans="1:1">
      <c r="A39" s="30" t="s">
        <v>201</v>
      </c>
    </row>
    <row r="40" spans="1:1">
      <c r="A40" s="30" t="s">
        <v>201</v>
      </c>
    </row>
    <row r="41" spans="1:1">
      <c r="A41" s="30" t="s">
        <v>201</v>
      </c>
    </row>
    <row r="42" spans="1:1">
      <c r="A42" s="30" t="s">
        <v>201</v>
      </c>
    </row>
    <row r="43" spans="1:1">
      <c r="A43" s="30" t="s">
        <v>201</v>
      </c>
    </row>
    <row r="44" spans="1:1">
      <c r="A44" s="30" t="s">
        <v>201</v>
      </c>
    </row>
    <row r="45" spans="1:1">
      <c r="A45" s="30" t="s">
        <v>201</v>
      </c>
    </row>
    <row r="46" spans="1:1">
      <c r="A46" s="30" t="s">
        <v>201</v>
      </c>
    </row>
    <row r="47" spans="1:1">
      <c r="A47" s="30" t="s">
        <v>201</v>
      </c>
    </row>
    <row r="48" spans="1:1">
      <c r="A48" s="30" t="s">
        <v>201</v>
      </c>
    </row>
    <row r="49" spans="1:1">
      <c r="A49" s="30" t="s">
        <v>201</v>
      </c>
    </row>
    <row r="50" spans="1:1">
      <c r="A50" s="30" t="s">
        <v>201</v>
      </c>
    </row>
    <row r="51" spans="1:1">
      <c r="A51" s="30" t="s">
        <v>201</v>
      </c>
    </row>
    <row r="52" spans="1:1">
      <c r="A52" s="30" t="s">
        <v>201</v>
      </c>
    </row>
    <row r="53" spans="1:1">
      <c r="A53" s="30" t="s">
        <v>201</v>
      </c>
    </row>
    <row r="54" spans="1:1">
      <c r="A54" s="30" t="s">
        <v>201</v>
      </c>
    </row>
    <row r="55" spans="1:1">
      <c r="A55" s="30" t="s">
        <v>201</v>
      </c>
    </row>
    <row r="56" spans="1:1">
      <c r="A56" s="30" t="s">
        <v>201</v>
      </c>
    </row>
    <row r="57" spans="1:1">
      <c r="A57" s="30" t="s">
        <v>201</v>
      </c>
    </row>
    <row r="58" spans="1:1">
      <c r="A58" s="30" t="s">
        <v>201</v>
      </c>
    </row>
    <row r="59" spans="1:1">
      <c r="A59" s="30" t="s">
        <v>201</v>
      </c>
    </row>
    <row r="60" spans="1:1">
      <c r="A60" s="30" t="s">
        <v>201</v>
      </c>
    </row>
    <row r="61" spans="1:1">
      <c r="A61" s="30" t="s">
        <v>201</v>
      </c>
    </row>
    <row r="62" spans="1:1">
      <c r="A62" s="30" t="s">
        <v>201</v>
      </c>
    </row>
    <row r="63" spans="1:1">
      <c r="A63" s="30" t="s">
        <v>201</v>
      </c>
    </row>
    <row r="64" spans="1:1">
      <c r="A64" s="30" t="s">
        <v>201</v>
      </c>
    </row>
    <row r="65" spans="1:1">
      <c r="A65" s="30" t="s">
        <v>201</v>
      </c>
    </row>
    <row r="66" spans="1:1">
      <c r="A66" s="30" t="s">
        <v>201</v>
      </c>
    </row>
    <row r="67" spans="1:1">
      <c r="A67" s="30" t="s">
        <v>201</v>
      </c>
    </row>
    <row r="68" spans="1:1">
      <c r="A68" s="30" t="s">
        <v>201</v>
      </c>
    </row>
    <row r="69" spans="1:1">
      <c r="A69" s="30" t="s">
        <v>201</v>
      </c>
    </row>
    <row r="70" spans="1:1">
      <c r="A70" s="30" t="s">
        <v>201</v>
      </c>
    </row>
    <row r="71" spans="1:1">
      <c r="A71" s="30" t="s">
        <v>201</v>
      </c>
    </row>
    <row r="72" spans="1:1">
      <c r="A72" s="30" t="s">
        <v>201</v>
      </c>
    </row>
    <row r="73" spans="1:1">
      <c r="A73" s="30" t="s">
        <v>201</v>
      </c>
    </row>
    <row r="74" spans="1:1">
      <c r="A74" s="30" t="s">
        <v>201</v>
      </c>
    </row>
    <row r="75" spans="1:1">
      <c r="A75" s="30" t="s">
        <v>201</v>
      </c>
    </row>
    <row r="76" spans="1:1">
      <c r="A76" s="30" t="s">
        <v>201</v>
      </c>
    </row>
    <row r="77" spans="1:1">
      <c r="A77" s="30" t="s">
        <v>201</v>
      </c>
    </row>
    <row r="78" spans="1:1">
      <c r="A78" s="30" t="s">
        <v>201</v>
      </c>
    </row>
    <row r="79" spans="1:1">
      <c r="A79" s="30" t="s">
        <v>201</v>
      </c>
    </row>
    <row r="80" spans="1:1">
      <c r="A80" s="30" t="s">
        <v>201</v>
      </c>
    </row>
    <row r="81" spans="1:1">
      <c r="A81" s="30" t="s">
        <v>201</v>
      </c>
    </row>
    <row r="82" spans="1:1">
      <c r="A82" s="30" t="s">
        <v>201</v>
      </c>
    </row>
    <row r="83" spans="1:1">
      <c r="A83" s="30" t="s">
        <v>201</v>
      </c>
    </row>
    <row r="84" spans="1:1">
      <c r="A84" s="30" t="s">
        <v>201</v>
      </c>
    </row>
    <row r="85" spans="1:1">
      <c r="A85" s="30" t="s">
        <v>201</v>
      </c>
    </row>
    <row r="86" spans="1:1">
      <c r="A86" s="30" t="s">
        <v>201</v>
      </c>
    </row>
    <row r="87" spans="1:1">
      <c r="A87" s="30" t="s">
        <v>201</v>
      </c>
    </row>
    <row r="88" spans="1:1">
      <c r="A88" s="30" t="s">
        <v>201</v>
      </c>
    </row>
    <row r="89" spans="1:1">
      <c r="A89" s="30" t="s">
        <v>201</v>
      </c>
    </row>
    <row r="90" spans="1:1">
      <c r="A90" s="30" t="s">
        <v>201</v>
      </c>
    </row>
    <row r="91" spans="1:1">
      <c r="A91" s="30" t="s">
        <v>201</v>
      </c>
    </row>
    <row r="92" spans="1:1">
      <c r="A92" s="30" t="s">
        <v>201</v>
      </c>
    </row>
    <row r="93" spans="1:1">
      <c r="A93" s="30" t="s">
        <v>201</v>
      </c>
    </row>
    <row r="94" spans="1:1">
      <c r="A94" s="30" t="s">
        <v>201</v>
      </c>
    </row>
    <row r="95" spans="1:1">
      <c r="A95" s="30" t="s">
        <v>201</v>
      </c>
    </row>
    <row r="96" spans="1:1">
      <c r="A96" s="30" t="s">
        <v>201</v>
      </c>
    </row>
    <row r="97" spans="1:1">
      <c r="A97" s="30" t="s">
        <v>201</v>
      </c>
    </row>
    <row r="98" spans="1:1">
      <c r="A98" s="30" t="s">
        <v>201</v>
      </c>
    </row>
    <row r="99" spans="1:1">
      <c r="A99" s="30" t="s">
        <v>201</v>
      </c>
    </row>
    <row r="100" spans="1:1">
      <c r="A100" s="30" t="s">
        <v>201</v>
      </c>
    </row>
    <row r="101" spans="1:1">
      <c r="A101" s="30" t="s">
        <v>201</v>
      </c>
    </row>
    <row r="102" spans="1:1">
      <c r="A102" s="30" t="s">
        <v>201</v>
      </c>
    </row>
    <row r="103" spans="1:1">
      <c r="A103" s="30" t="s">
        <v>201</v>
      </c>
    </row>
    <row r="104" spans="1:1">
      <c r="A104" s="30" t="s">
        <v>201</v>
      </c>
    </row>
    <row r="105" spans="1:1">
      <c r="A105" s="30" t="s">
        <v>201</v>
      </c>
    </row>
    <row r="106" spans="1:1">
      <c r="A106" s="30" t="s">
        <v>201</v>
      </c>
    </row>
    <row r="107" spans="1:1">
      <c r="A107" s="30" t="s">
        <v>201</v>
      </c>
    </row>
    <row r="108" spans="1:1">
      <c r="A108" s="30" t="s">
        <v>201</v>
      </c>
    </row>
    <row r="109" spans="1:1">
      <c r="A109" s="30" t="s">
        <v>201</v>
      </c>
    </row>
    <row r="110" spans="1:1">
      <c r="A110" s="30" t="s">
        <v>201</v>
      </c>
    </row>
    <row r="111" spans="1:1">
      <c r="A111" s="30" t="s">
        <v>201</v>
      </c>
    </row>
    <row r="112" spans="1:1">
      <c r="A112" s="30" t="s">
        <v>201</v>
      </c>
    </row>
    <row r="113" spans="1:1">
      <c r="A113" s="30" t="s">
        <v>201</v>
      </c>
    </row>
    <row r="114" spans="1:1">
      <c r="A114" s="30" t="s">
        <v>201</v>
      </c>
    </row>
    <row r="115" spans="1:1">
      <c r="A115" s="30" t="s">
        <v>201</v>
      </c>
    </row>
    <row r="116" spans="1:1">
      <c r="A116" s="30" t="s">
        <v>201</v>
      </c>
    </row>
    <row r="117" spans="1:1">
      <c r="A117" s="30" t="s">
        <v>201</v>
      </c>
    </row>
    <row r="118" spans="1:1">
      <c r="A118" s="30" t="s">
        <v>201</v>
      </c>
    </row>
    <row r="119" spans="1:1">
      <c r="A119" s="30" t="s">
        <v>201</v>
      </c>
    </row>
    <row r="120" spans="1:1">
      <c r="A120" s="30" t="s">
        <v>201</v>
      </c>
    </row>
    <row r="121" spans="1:1">
      <c r="A121" s="30" t="s">
        <v>201</v>
      </c>
    </row>
    <row r="122" spans="1:1">
      <c r="A122" s="30" t="s">
        <v>201</v>
      </c>
    </row>
    <row r="123" spans="1:1">
      <c r="A123" s="30" t="s">
        <v>201</v>
      </c>
    </row>
    <row r="124" spans="1:1">
      <c r="A124" s="30" t="s">
        <v>201</v>
      </c>
    </row>
    <row r="125" spans="1:1">
      <c r="A125" s="30" t="s">
        <v>201</v>
      </c>
    </row>
    <row r="126" spans="1:1">
      <c r="A126" s="30" t="s">
        <v>201</v>
      </c>
    </row>
    <row r="127" spans="1:1">
      <c r="A127" s="30" t="s">
        <v>201</v>
      </c>
    </row>
    <row r="128" spans="1:1">
      <c r="A128" s="30" t="s">
        <v>201</v>
      </c>
    </row>
    <row r="129" spans="1:1">
      <c r="A129" s="30" t="s">
        <v>201</v>
      </c>
    </row>
    <row r="130" spans="1:1">
      <c r="A130" s="30" t="s">
        <v>201</v>
      </c>
    </row>
    <row r="131" spans="1:1">
      <c r="A131" s="30" t="s">
        <v>201</v>
      </c>
    </row>
    <row r="132" spans="1:1">
      <c r="A132" s="30" t="s">
        <v>201</v>
      </c>
    </row>
    <row r="133" spans="1:1">
      <c r="A133" s="30" t="s">
        <v>201</v>
      </c>
    </row>
    <row r="134" spans="1:1">
      <c r="A134" s="30" t="s">
        <v>201</v>
      </c>
    </row>
    <row r="135" spans="1:1">
      <c r="A135" s="30" t="s">
        <v>201</v>
      </c>
    </row>
    <row r="136" spans="1:1">
      <c r="A136" s="30" t="s">
        <v>201</v>
      </c>
    </row>
    <row r="137" spans="1:1">
      <c r="A137" s="30" t="s">
        <v>201</v>
      </c>
    </row>
    <row r="138" spans="1:1">
      <c r="A138" s="30" t="s">
        <v>201</v>
      </c>
    </row>
    <row r="139" spans="1:1">
      <c r="A139" s="30" t="s">
        <v>201</v>
      </c>
    </row>
    <row r="140" spans="1:1">
      <c r="A140" s="30" t="s">
        <v>201</v>
      </c>
    </row>
    <row r="141" spans="1:1">
      <c r="A141" s="30" t="s">
        <v>201</v>
      </c>
    </row>
    <row r="142" spans="1:1">
      <c r="A142" s="30" t="s">
        <v>201</v>
      </c>
    </row>
    <row r="143" spans="1:1">
      <c r="A143" s="30" t="s">
        <v>201</v>
      </c>
    </row>
    <row r="144" spans="1:1">
      <c r="A144" s="30" t="s">
        <v>201</v>
      </c>
    </row>
    <row r="145" spans="1:1">
      <c r="A145" s="30" t="s">
        <v>201</v>
      </c>
    </row>
    <row r="146" spans="1:1">
      <c r="A146" s="30" t="s">
        <v>201</v>
      </c>
    </row>
    <row r="147" spans="1:1">
      <c r="A147" s="30" t="s">
        <v>201</v>
      </c>
    </row>
    <row r="148" spans="1:1">
      <c r="A148" s="30" t="s">
        <v>201</v>
      </c>
    </row>
    <row r="149" spans="1:1">
      <c r="A149" s="30" t="s">
        <v>201</v>
      </c>
    </row>
    <row r="150" spans="1:1">
      <c r="A150" s="30" t="s">
        <v>201</v>
      </c>
    </row>
    <row r="151" spans="1:1">
      <c r="A151" s="30" t="s">
        <v>201</v>
      </c>
    </row>
    <row r="152" spans="1:1">
      <c r="A152" s="30" t="s">
        <v>201</v>
      </c>
    </row>
    <row r="153" spans="1:1">
      <c r="A153" s="30" t="s">
        <v>201</v>
      </c>
    </row>
    <row r="154" spans="1:1">
      <c r="A154" s="30" t="s">
        <v>201</v>
      </c>
    </row>
    <row r="155" spans="1:1">
      <c r="A155" s="30" t="s">
        <v>201</v>
      </c>
    </row>
    <row r="156" spans="1:1">
      <c r="A156" s="30" t="s">
        <v>201</v>
      </c>
    </row>
    <row r="157" spans="1:1">
      <c r="A157" s="30" t="s">
        <v>201</v>
      </c>
    </row>
    <row r="158" spans="1:1">
      <c r="A158" s="30" t="s">
        <v>201</v>
      </c>
    </row>
    <row r="159" spans="1:1">
      <c r="A159" s="30" t="s">
        <v>201</v>
      </c>
    </row>
    <row r="160" spans="1:1">
      <c r="A160" s="30" t="s">
        <v>201</v>
      </c>
    </row>
    <row r="161" spans="1:1">
      <c r="A161" s="30" t="s">
        <v>201</v>
      </c>
    </row>
    <row r="162" spans="1:1">
      <c r="A162" s="30" t="s">
        <v>201</v>
      </c>
    </row>
    <row r="163" spans="1:1">
      <c r="A163" s="30" t="s">
        <v>201</v>
      </c>
    </row>
    <row r="164" spans="1:1">
      <c r="A164" s="30"/>
    </row>
    <row r="165" spans="1:1">
      <c r="A165" s="30"/>
    </row>
    <row r="166" spans="1:1">
      <c r="A166" s="30"/>
    </row>
    <row r="167" spans="1:1">
      <c r="A167" s="30"/>
    </row>
    <row r="168" spans="1:1">
      <c r="A168" s="30"/>
    </row>
    <row r="169" spans="1:1">
      <c r="A169" s="30"/>
    </row>
    <row r="170" spans="1:1">
      <c r="A170" s="30"/>
    </row>
    <row r="171" spans="1:1">
      <c r="A171" s="30"/>
    </row>
    <row r="172" spans="1:1">
      <c r="A172" s="30"/>
    </row>
    <row r="173" spans="1:1">
      <c r="A173" s="30"/>
    </row>
    <row r="174" spans="1:1">
      <c r="A174" s="30"/>
    </row>
    <row r="175" spans="1:1">
      <c r="A175" s="30"/>
    </row>
    <row r="176" spans="1:1">
      <c r="A176" s="30"/>
    </row>
    <row r="177" spans="1:1">
      <c r="A177" s="30"/>
    </row>
    <row r="178" spans="1:1">
      <c r="A178" s="30"/>
    </row>
    <row r="179" spans="1:1">
      <c r="A179" s="30"/>
    </row>
    <row r="180" spans="1:1">
      <c r="A180" s="30"/>
    </row>
    <row r="181" spans="1:1">
      <c r="A181" s="30"/>
    </row>
    <row r="182" spans="1:1">
      <c r="A182" s="30"/>
    </row>
    <row r="183" spans="1:1">
      <c r="A183" s="30"/>
    </row>
    <row r="184" spans="1:1">
      <c r="A184" s="30"/>
    </row>
    <row r="185" spans="1:1">
      <c r="A185" s="30"/>
    </row>
    <row r="186" spans="1:1">
      <c r="A186" s="30"/>
    </row>
    <row r="187" spans="1:1">
      <c r="A187" s="30"/>
    </row>
    <row r="188" spans="1:1">
      <c r="A188" s="30"/>
    </row>
    <row r="189" spans="1:1">
      <c r="A189" s="30"/>
    </row>
    <row r="190" spans="1:1">
      <c r="A190" s="30"/>
    </row>
    <row r="191" spans="1:1">
      <c r="A191" s="30"/>
    </row>
    <row r="192" spans="1:1">
      <c r="A192" s="30"/>
    </row>
    <row r="193" spans="1:1">
      <c r="A193" s="30"/>
    </row>
    <row r="194" spans="1:1">
      <c r="A194" s="30"/>
    </row>
    <row r="195" spans="1:1">
      <c r="A195" s="30"/>
    </row>
    <row r="196" spans="1:1">
      <c r="A196" s="30"/>
    </row>
    <row r="197" spans="1:1">
      <c r="A197" s="30"/>
    </row>
    <row r="198" spans="1:1">
      <c r="A198" s="30"/>
    </row>
    <row r="199" spans="1:1">
      <c r="A199" s="30"/>
    </row>
    <row r="200" spans="1:1">
      <c r="A200" s="30"/>
    </row>
    <row r="201" spans="1:1">
      <c r="A201" s="30"/>
    </row>
    <row r="202" spans="1:1">
      <c r="A202" s="30"/>
    </row>
    <row r="203" spans="1:1">
      <c r="A203" s="30"/>
    </row>
    <row r="204" spans="1:1">
      <c r="A204" s="30"/>
    </row>
    <row r="205" spans="1:1">
      <c r="A205" s="30"/>
    </row>
    <row r="206" spans="1:1">
      <c r="A206" s="30"/>
    </row>
    <row r="207" spans="1:1">
      <c r="A207" s="30"/>
    </row>
    <row r="208" spans="1:1">
      <c r="A208" s="30"/>
    </row>
    <row r="209" spans="1:1">
      <c r="A209" s="30"/>
    </row>
    <row r="210" spans="1:1">
      <c r="A210" s="30"/>
    </row>
    <row r="211" spans="1:1">
      <c r="A211" s="30"/>
    </row>
    <row r="212" spans="1:1">
      <c r="A212" s="30"/>
    </row>
    <row r="213" spans="1:1">
      <c r="A213" s="30"/>
    </row>
    <row r="214" spans="1:1">
      <c r="A214" s="30"/>
    </row>
    <row r="215" spans="1:1">
      <c r="A215" s="30"/>
    </row>
    <row r="216" spans="1:1">
      <c r="A216" s="30"/>
    </row>
    <row r="217" spans="1:1">
      <c r="A217" s="30"/>
    </row>
    <row r="218" spans="1:1">
      <c r="A218" s="30"/>
    </row>
    <row r="219" spans="1:1">
      <c r="A219" s="30"/>
    </row>
    <row r="220" spans="1:1">
      <c r="A220" s="30"/>
    </row>
    <row r="221" spans="1:1">
      <c r="A221" s="30"/>
    </row>
    <row r="222" spans="1:1">
      <c r="A222" s="30"/>
    </row>
    <row r="223" spans="1:1">
      <c r="A223" s="30"/>
    </row>
    <row r="224" spans="1:1">
      <c r="A224" s="30"/>
    </row>
    <row r="225" spans="1:1">
      <c r="A225" s="30"/>
    </row>
    <row r="226" spans="1:1">
      <c r="A226" s="30"/>
    </row>
    <row r="227" spans="1:1">
      <c r="A227" s="30"/>
    </row>
    <row r="228" spans="1:1">
      <c r="A228" s="30"/>
    </row>
    <row r="229" spans="1:1">
      <c r="A229" s="30"/>
    </row>
    <row r="230" spans="1:1">
      <c r="A230" s="30"/>
    </row>
    <row r="231" spans="1:1">
      <c r="A231" s="30"/>
    </row>
    <row r="232" spans="1:1">
      <c r="A232" s="30"/>
    </row>
    <row r="233" spans="1:1">
      <c r="A233" s="30"/>
    </row>
    <row r="234" spans="1:1">
      <c r="A234" s="30"/>
    </row>
    <row r="235" spans="1:1">
      <c r="A235" s="30"/>
    </row>
    <row r="236" spans="1:1">
      <c r="A236" s="30"/>
    </row>
    <row r="237" spans="1:1">
      <c r="A237" s="30"/>
    </row>
    <row r="238" spans="1:1">
      <c r="A238" s="30"/>
    </row>
    <row r="239" spans="1:1">
      <c r="A239" s="30"/>
    </row>
    <row r="240" spans="1:1">
      <c r="A240" s="30"/>
    </row>
    <row r="241" spans="1:1">
      <c r="A241" s="30"/>
    </row>
    <row r="242" spans="1:1">
      <c r="A242" s="30"/>
    </row>
    <row r="243" spans="1:1">
      <c r="A243" s="30"/>
    </row>
    <row r="244" spans="1:1">
      <c r="A244" s="30"/>
    </row>
    <row r="245" spans="1:1">
      <c r="A245" s="30"/>
    </row>
    <row r="246" spans="1:1">
      <c r="A246" s="30"/>
    </row>
    <row r="247" spans="1:1">
      <c r="A247" s="30"/>
    </row>
    <row r="248" spans="1:1">
      <c r="A248" s="30"/>
    </row>
    <row r="249" spans="1:1">
      <c r="A249" s="30"/>
    </row>
    <row r="250" spans="1:1">
      <c r="A250" s="30"/>
    </row>
    <row r="251" spans="1:1">
      <c r="A251" s="30"/>
    </row>
    <row r="252" spans="1:1">
      <c r="A252" s="30"/>
    </row>
    <row r="253" spans="1:1">
      <c r="A253" s="30"/>
    </row>
    <row r="254" spans="1:1">
      <c r="A254" s="30"/>
    </row>
    <row r="255" spans="1:1">
      <c r="A255" s="30"/>
    </row>
    <row r="256" spans="1:1">
      <c r="A256" s="30"/>
    </row>
    <row r="257" spans="1:1">
      <c r="A257" s="30"/>
    </row>
    <row r="258" spans="1:1">
      <c r="A258" s="30"/>
    </row>
    <row r="259" spans="1:1">
      <c r="A259" s="30"/>
    </row>
    <row r="260" spans="1:1">
      <c r="A260" s="30"/>
    </row>
    <row r="261" spans="1:1">
      <c r="A261" s="30"/>
    </row>
    <row r="262" spans="1:1">
      <c r="A262" s="30"/>
    </row>
    <row r="263" spans="1:1">
      <c r="A263" s="30"/>
    </row>
    <row r="264" spans="1:1">
      <c r="A264" s="30"/>
    </row>
    <row r="265" spans="1:1">
      <c r="A265" s="30"/>
    </row>
    <row r="266" spans="1:1">
      <c r="A266" s="30"/>
    </row>
    <row r="267" spans="1:1">
      <c r="A267" s="30"/>
    </row>
    <row r="268" spans="1:1">
      <c r="A268" s="30"/>
    </row>
    <row r="269" spans="1:1">
      <c r="A269" s="30"/>
    </row>
    <row r="270" spans="1:1">
      <c r="A270" s="30"/>
    </row>
    <row r="271" spans="1:1">
      <c r="A271" s="30"/>
    </row>
    <row r="272" spans="1:1">
      <c r="A272" s="30"/>
    </row>
    <row r="273" spans="1:1">
      <c r="A273" s="30"/>
    </row>
    <row r="274" spans="1:1">
      <c r="A274" s="30"/>
    </row>
    <row r="275" spans="1:1">
      <c r="A275" s="30"/>
    </row>
    <row r="276" spans="1:1">
      <c r="A276" s="30"/>
    </row>
    <row r="277" spans="1:1">
      <c r="A277" s="30"/>
    </row>
    <row r="278" spans="1:1">
      <c r="A278" s="30"/>
    </row>
    <row r="279" spans="1:1">
      <c r="A279" s="30"/>
    </row>
    <row r="280" spans="1:1">
      <c r="A280" s="30"/>
    </row>
    <row r="281" spans="1:1">
      <c r="A281" s="30"/>
    </row>
    <row r="282" spans="1:1">
      <c r="A282" s="30"/>
    </row>
    <row r="283" spans="1:1">
      <c r="A283" s="30"/>
    </row>
    <row r="284" spans="1:1">
      <c r="A284" s="30"/>
    </row>
    <row r="285" spans="1:1">
      <c r="A285" s="30"/>
    </row>
    <row r="286" spans="1:1">
      <c r="A286" s="30"/>
    </row>
    <row r="287" spans="1:1">
      <c r="A287" s="30"/>
    </row>
    <row r="288" spans="1:1">
      <c r="A288" s="30"/>
    </row>
    <row r="289" spans="1:1">
      <c r="A289" s="30"/>
    </row>
    <row r="290" spans="1:1">
      <c r="A290" s="30"/>
    </row>
    <row r="291" spans="1:1">
      <c r="A291" s="30"/>
    </row>
    <row r="292" spans="1:1">
      <c r="A292" s="30"/>
    </row>
    <row r="293" spans="1:1">
      <c r="A293" s="30"/>
    </row>
    <row r="294" spans="1:1">
      <c r="A294" s="30"/>
    </row>
    <row r="295" spans="1:1">
      <c r="A295" s="30"/>
    </row>
    <row r="296" spans="1:1">
      <c r="A296" s="30"/>
    </row>
    <row r="297" spans="1:1">
      <c r="A297" s="30"/>
    </row>
    <row r="298" spans="1:1">
      <c r="A298" s="30"/>
    </row>
    <row r="299" spans="1:1">
      <c r="A299" s="30"/>
    </row>
    <row r="300" spans="1:1">
      <c r="A300" s="30"/>
    </row>
    <row r="301" spans="1:1">
      <c r="A301" s="30"/>
    </row>
    <row r="302" spans="1:1">
      <c r="A302" s="30"/>
    </row>
    <row r="303" spans="1:1">
      <c r="A303" s="30"/>
    </row>
    <row r="304" spans="1:1">
      <c r="A304" s="30"/>
    </row>
    <row r="305" spans="1:1">
      <c r="A305" s="30"/>
    </row>
    <row r="306" spans="1:1">
      <c r="A306" s="30"/>
    </row>
    <row r="307" spans="1:1">
      <c r="A307" s="30"/>
    </row>
    <row r="308" spans="1:1">
      <c r="A308" s="30"/>
    </row>
    <row r="309" spans="1:1">
      <c r="A309" s="30"/>
    </row>
    <row r="310" spans="1:1">
      <c r="A310" s="30"/>
    </row>
    <row r="311" spans="1:1">
      <c r="A311" s="30"/>
    </row>
    <row r="312" spans="1:1">
      <c r="A312" s="30"/>
    </row>
    <row r="313" spans="1:1">
      <c r="A313" s="30"/>
    </row>
    <row r="314" spans="1:1">
      <c r="A314" s="30"/>
    </row>
    <row r="315" spans="1:1">
      <c r="A315" s="30"/>
    </row>
    <row r="316" spans="1:1">
      <c r="A316" s="30"/>
    </row>
    <row r="317" spans="1:1">
      <c r="A317" s="30"/>
    </row>
    <row r="318" spans="1:1">
      <c r="A318" s="30"/>
    </row>
    <row r="319" spans="1:1">
      <c r="A319" s="30"/>
    </row>
    <row r="320" spans="1:1">
      <c r="A320" s="30"/>
    </row>
    <row r="321" spans="1:1">
      <c r="A321" s="30"/>
    </row>
    <row r="322" spans="1:1">
      <c r="A322" s="30"/>
    </row>
    <row r="323" spans="1:1">
      <c r="A323" s="30"/>
    </row>
    <row r="324" spans="1:1">
      <c r="A324" s="30"/>
    </row>
    <row r="325" spans="1:1">
      <c r="A325" s="30"/>
    </row>
    <row r="326" spans="1:1">
      <c r="A326" s="30"/>
    </row>
    <row r="327" spans="1:1">
      <c r="A327" s="30"/>
    </row>
    <row r="328" spans="1:1">
      <c r="A328" s="30"/>
    </row>
    <row r="329" spans="1:1">
      <c r="A329" s="30"/>
    </row>
    <row r="330" spans="1:1">
      <c r="A330" s="30"/>
    </row>
    <row r="331" spans="1:1">
      <c r="A331" s="30"/>
    </row>
    <row r="332" spans="1:1">
      <c r="A332" s="30"/>
    </row>
    <row r="333" spans="1:1">
      <c r="A333" s="30"/>
    </row>
    <row r="334" spans="1:1">
      <c r="A334" s="30"/>
    </row>
    <row r="335" spans="1:1">
      <c r="A335" s="30"/>
    </row>
    <row r="336" spans="1:1">
      <c r="A336" s="30"/>
    </row>
    <row r="337" spans="1:1">
      <c r="A337" s="30"/>
    </row>
    <row r="338" spans="1:1">
      <c r="A338" s="30"/>
    </row>
    <row r="339" spans="1:1">
      <c r="A339" s="30"/>
    </row>
    <row r="340" spans="1:1">
      <c r="A340" s="30"/>
    </row>
    <row r="341" spans="1:1">
      <c r="A341" s="30"/>
    </row>
    <row r="342" spans="1:1">
      <c r="A342" s="30"/>
    </row>
    <row r="343" spans="1:1">
      <c r="A343" s="30"/>
    </row>
    <row r="344" spans="1:1">
      <c r="A344" s="30"/>
    </row>
    <row r="345" spans="1:1">
      <c r="A345" s="30"/>
    </row>
    <row r="346" spans="1:1">
      <c r="A346" s="30"/>
    </row>
    <row r="347" spans="1:1">
      <c r="A347" s="30"/>
    </row>
    <row r="348" spans="1:1">
      <c r="A348" s="30"/>
    </row>
    <row r="349" spans="1:1">
      <c r="A349" s="30"/>
    </row>
    <row r="350" spans="1:1">
      <c r="A350" s="30"/>
    </row>
    <row r="351" spans="1:1">
      <c r="A351" s="30"/>
    </row>
    <row r="352" spans="1:1">
      <c r="A352" s="30"/>
    </row>
    <row r="353" spans="1:1">
      <c r="A353" s="30"/>
    </row>
    <row r="354" spans="1:1">
      <c r="A354" s="30"/>
    </row>
    <row r="355" spans="1:1">
      <c r="A355" s="30"/>
    </row>
    <row r="356" spans="1:1">
      <c r="A356" s="30"/>
    </row>
    <row r="357" spans="1:1">
      <c r="A357" s="30"/>
    </row>
    <row r="358" spans="1:1">
      <c r="A358" s="30"/>
    </row>
    <row r="359" spans="1:1">
      <c r="A359" s="30"/>
    </row>
    <row r="360" spans="1:1">
      <c r="A360" s="30"/>
    </row>
    <row r="361" spans="1:1">
      <c r="A361" s="30"/>
    </row>
    <row r="362" spans="1:1">
      <c r="A362" s="30"/>
    </row>
    <row r="363" spans="1:1">
      <c r="A363" s="30"/>
    </row>
    <row r="364" spans="1:1">
      <c r="A364" s="30"/>
    </row>
    <row r="365" spans="1:1">
      <c r="A365" s="30"/>
    </row>
    <row r="366" spans="1:1">
      <c r="A366" s="30"/>
    </row>
    <row r="367" spans="1:1">
      <c r="A367" s="30"/>
    </row>
    <row r="368" spans="1:1">
      <c r="A368" s="30"/>
    </row>
    <row r="369" spans="1:1">
      <c r="A369" s="30"/>
    </row>
    <row r="370" spans="1:1">
      <c r="A370" s="30"/>
    </row>
    <row r="371" spans="1:1">
      <c r="A371" s="30"/>
    </row>
    <row r="372" spans="1:1">
      <c r="A372" s="30"/>
    </row>
    <row r="373" spans="1:1">
      <c r="A373" s="30"/>
    </row>
    <row r="374" spans="1:1">
      <c r="A374" s="30"/>
    </row>
    <row r="375" spans="1:1">
      <c r="A375" s="30"/>
    </row>
    <row r="376" spans="1:1">
      <c r="A376" s="30"/>
    </row>
    <row r="377" spans="1:1">
      <c r="A377" s="30"/>
    </row>
    <row r="378" spans="1:1">
      <c r="A378" s="30"/>
    </row>
    <row r="379" spans="1:1">
      <c r="A379" s="30"/>
    </row>
    <row r="380" spans="1:1">
      <c r="A380" s="30"/>
    </row>
    <row r="381" spans="1:1">
      <c r="A381" s="30"/>
    </row>
    <row r="382" spans="1:1">
      <c r="A382" s="30"/>
    </row>
    <row r="383" spans="1:1">
      <c r="A383" s="30"/>
    </row>
    <row r="384" spans="1:1">
      <c r="A384" s="30"/>
    </row>
    <row r="385" spans="1:1">
      <c r="A385" s="30"/>
    </row>
    <row r="386" spans="1:1">
      <c r="A386" s="30"/>
    </row>
    <row r="387" spans="1:1">
      <c r="A387" s="30"/>
    </row>
    <row r="388" spans="1:1">
      <c r="A388" s="30"/>
    </row>
    <row r="389" spans="1:1">
      <c r="A389" s="30"/>
    </row>
    <row r="390" spans="1:1">
      <c r="A390" s="30"/>
    </row>
    <row r="391" spans="1:1">
      <c r="A391" s="30"/>
    </row>
    <row r="392" spans="1:1">
      <c r="A392" s="30"/>
    </row>
    <row r="393" spans="1:1">
      <c r="A393" s="30"/>
    </row>
    <row r="394" spans="1:1">
      <c r="A394" s="30"/>
    </row>
    <row r="395" spans="1:1">
      <c r="A395" s="30"/>
    </row>
    <row r="396" spans="1:1">
      <c r="A396" s="30"/>
    </row>
    <row r="397" spans="1:1">
      <c r="A397" s="30"/>
    </row>
    <row r="398" spans="1:1">
      <c r="A398" s="30"/>
    </row>
    <row r="399" spans="1:1">
      <c r="A399" s="30"/>
    </row>
    <row r="400" spans="1:1">
      <c r="A400" s="30"/>
    </row>
    <row r="401" spans="1:1">
      <c r="A401" s="30"/>
    </row>
    <row r="402" spans="1:1">
      <c r="A402" s="30"/>
    </row>
    <row r="403" spans="1:1">
      <c r="A403" s="30"/>
    </row>
    <row r="404" spans="1:1">
      <c r="A404" s="30"/>
    </row>
    <row r="405" spans="1:1">
      <c r="A405" s="30"/>
    </row>
    <row r="406" spans="1:1">
      <c r="A406" s="30"/>
    </row>
    <row r="407" spans="1:1">
      <c r="A407" s="30"/>
    </row>
    <row r="408" spans="1:1">
      <c r="A408" s="30"/>
    </row>
    <row r="409" spans="1:1">
      <c r="A409" s="30"/>
    </row>
    <row r="410" spans="1:1">
      <c r="A410" s="30"/>
    </row>
    <row r="411" spans="1:1">
      <c r="A411" s="30"/>
    </row>
    <row r="412" spans="1:1">
      <c r="A412" s="30"/>
    </row>
    <row r="413" spans="1:1">
      <c r="A413" s="30"/>
    </row>
    <row r="414" spans="1:1">
      <c r="A414" s="30"/>
    </row>
    <row r="415" spans="1:1">
      <c r="A415" s="30"/>
    </row>
    <row r="416" spans="1:1">
      <c r="A416" s="30"/>
    </row>
    <row r="417" spans="1:1">
      <c r="A417" s="30"/>
    </row>
    <row r="418" spans="1:1">
      <c r="A418" s="30"/>
    </row>
    <row r="419" spans="1:1">
      <c r="A419" s="30"/>
    </row>
    <row r="420" spans="1:1">
      <c r="A420" s="30"/>
    </row>
    <row r="421" spans="1:1">
      <c r="A421" s="30"/>
    </row>
    <row r="422" spans="1:1">
      <c r="A422" s="30"/>
    </row>
    <row r="423" spans="1:1">
      <c r="A423" s="30"/>
    </row>
    <row r="424" spans="1:1">
      <c r="A424" s="30"/>
    </row>
    <row r="425" spans="1:1">
      <c r="A425" s="30"/>
    </row>
    <row r="426" spans="1:1">
      <c r="A426" s="30"/>
    </row>
    <row r="427" spans="1:1">
      <c r="A427" s="30"/>
    </row>
    <row r="428" spans="1:1">
      <c r="A428" s="30"/>
    </row>
    <row r="429" spans="1:1">
      <c r="A429" s="30"/>
    </row>
    <row r="430" spans="1:1">
      <c r="A430" s="30"/>
    </row>
    <row r="431" spans="1:1">
      <c r="A431" s="30"/>
    </row>
    <row r="432" spans="1:1">
      <c r="A432" s="30"/>
    </row>
    <row r="433" spans="1:1">
      <c r="A433" s="30"/>
    </row>
    <row r="434" spans="1:1">
      <c r="A434" s="30"/>
    </row>
    <row r="435" spans="1:1">
      <c r="A435" s="30"/>
    </row>
    <row r="436" spans="1:1">
      <c r="A436" s="30"/>
    </row>
    <row r="437" spans="1:1">
      <c r="A437" s="30"/>
    </row>
    <row r="438" spans="1:1">
      <c r="A438" s="30"/>
    </row>
    <row r="439" spans="1:1">
      <c r="A439" s="30"/>
    </row>
    <row r="440" spans="1:1">
      <c r="A440" s="30"/>
    </row>
    <row r="441" spans="1:1">
      <c r="A441" s="30"/>
    </row>
    <row r="442" spans="1:1">
      <c r="A442" s="30"/>
    </row>
    <row r="443" spans="1:1">
      <c r="A443" s="30"/>
    </row>
    <row r="444" spans="1:1">
      <c r="A444" s="30"/>
    </row>
    <row r="445" spans="1:1">
      <c r="A445" s="30"/>
    </row>
    <row r="446" spans="1:1">
      <c r="A446" s="30"/>
    </row>
    <row r="447" spans="1:1">
      <c r="A447" s="30"/>
    </row>
    <row r="448" spans="1:1">
      <c r="A448" s="30"/>
    </row>
    <row r="449" spans="1:1">
      <c r="A449" s="30"/>
    </row>
    <row r="450" spans="1:1">
      <c r="A450" s="30"/>
    </row>
    <row r="451" spans="1:1">
      <c r="A451" s="30"/>
    </row>
    <row r="452" spans="1:1">
      <c r="A452" s="30"/>
    </row>
    <row r="453" spans="1:1">
      <c r="A453" s="30"/>
    </row>
    <row r="454" spans="1:1">
      <c r="A454" s="30"/>
    </row>
    <row r="455" spans="1:1">
      <c r="A455" s="30"/>
    </row>
    <row r="456" spans="1:1">
      <c r="A456" s="30"/>
    </row>
    <row r="457" spans="1:1">
      <c r="A457" s="30"/>
    </row>
    <row r="458" spans="1:1">
      <c r="A458" s="30"/>
    </row>
    <row r="459" spans="1:1">
      <c r="A459" s="30"/>
    </row>
    <row r="460" spans="1:1">
      <c r="A460" s="30"/>
    </row>
    <row r="461" spans="1:1">
      <c r="A461" s="30"/>
    </row>
    <row r="462" spans="1:1">
      <c r="A462" s="30"/>
    </row>
    <row r="463" spans="1:1">
      <c r="A463" s="30"/>
    </row>
    <row r="464" spans="1:1">
      <c r="A464" s="30"/>
    </row>
    <row r="465" spans="1:1">
      <c r="A465" s="30"/>
    </row>
    <row r="466" spans="1:1">
      <c r="A466" s="30"/>
    </row>
    <row r="467" spans="1:1">
      <c r="A467" s="30"/>
    </row>
    <row r="468" spans="1:1">
      <c r="A468" s="30"/>
    </row>
    <row r="469" spans="1:1">
      <c r="A469" s="30"/>
    </row>
    <row r="470" spans="1:1">
      <c r="A470" s="30"/>
    </row>
    <row r="471" spans="1:1">
      <c r="A471" s="30"/>
    </row>
    <row r="472" spans="1:1">
      <c r="A472" s="30"/>
    </row>
    <row r="473" spans="1:1">
      <c r="A473" s="30"/>
    </row>
    <row r="474" spans="1:1">
      <c r="A474" s="30"/>
    </row>
    <row r="475" spans="1:1">
      <c r="A475" s="30"/>
    </row>
    <row r="476" spans="1:1">
      <c r="A476" s="30"/>
    </row>
    <row r="477" spans="1:1">
      <c r="A477" s="30"/>
    </row>
    <row r="478" spans="1:1">
      <c r="A478" s="30"/>
    </row>
    <row r="479" spans="1:1">
      <c r="A479" s="30"/>
    </row>
    <row r="480" spans="1:1">
      <c r="A480" s="30"/>
    </row>
    <row r="481" spans="1:1">
      <c r="A481" s="30"/>
    </row>
    <row r="482" spans="1:1">
      <c r="A482" s="30"/>
    </row>
    <row r="483" spans="1:1">
      <c r="A483" s="30"/>
    </row>
    <row r="484" spans="1:1">
      <c r="A484" s="30"/>
    </row>
    <row r="485" spans="1:1">
      <c r="A485" s="30"/>
    </row>
    <row r="486" spans="1:1">
      <c r="A486" s="30"/>
    </row>
    <row r="487" spans="1:1">
      <c r="A487" s="30"/>
    </row>
    <row r="488" spans="1:1">
      <c r="A488" s="30"/>
    </row>
    <row r="489" spans="1:1">
      <c r="A489" s="30"/>
    </row>
    <row r="490" spans="1:1">
      <c r="A490" s="30"/>
    </row>
    <row r="491" spans="1:1">
      <c r="A491" s="30"/>
    </row>
    <row r="492" spans="1:1">
      <c r="A492" s="30"/>
    </row>
    <row r="493" spans="1:1">
      <c r="A493" s="30"/>
    </row>
    <row r="494" spans="1:1">
      <c r="A494" s="30"/>
    </row>
    <row r="495" spans="1:1">
      <c r="A495" s="30"/>
    </row>
    <row r="496" spans="1:1">
      <c r="A496" s="30"/>
    </row>
    <row r="497" spans="1:1">
      <c r="A497" s="30"/>
    </row>
    <row r="498" spans="1:1">
      <c r="A498" s="30"/>
    </row>
    <row r="499" spans="1:1">
      <c r="A499" s="30"/>
    </row>
    <row r="500" spans="1:1">
      <c r="A500" s="30"/>
    </row>
    <row r="501" spans="1:1">
      <c r="A501" s="30"/>
    </row>
    <row r="502" spans="1:1">
      <c r="A502" s="30"/>
    </row>
    <row r="503" spans="1:1">
      <c r="A503" s="30"/>
    </row>
    <row r="504" spans="1:1">
      <c r="A504" s="30"/>
    </row>
    <row r="505" spans="1:1">
      <c r="A505" s="30"/>
    </row>
    <row r="506" spans="1:1">
      <c r="A506" s="30"/>
    </row>
    <row r="507" spans="1:1">
      <c r="A507" s="30"/>
    </row>
    <row r="508" spans="1:1">
      <c r="A508" s="30"/>
    </row>
    <row r="509" spans="1:1">
      <c r="A509" s="30"/>
    </row>
    <row r="510" spans="1:1">
      <c r="A510" s="30"/>
    </row>
    <row r="511" spans="1:1">
      <c r="A511" s="30"/>
    </row>
    <row r="512" spans="1:1">
      <c r="A512" s="30"/>
    </row>
    <row r="513" spans="1:1">
      <c r="A513" s="30"/>
    </row>
    <row r="514" spans="1:1">
      <c r="A514" s="30"/>
    </row>
    <row r="515" spans="1:1">
      <c r="A515" s="30"/>
    </row>
    <row r="516" spans="1:1">
      <c r="A516" s="30"/>
    </row>
    <row r="517" spans="1:1">
      <c r="A517" s="30"/>
    </row>
    <row r="518" spans="1:1">
      <c r="A518" s="30"/>
    </row>
    <row r="519" spans="1:1">
      <c r="A519" s="30"/>
    </row>
    <row r="520" spans="1:1">
      <c r="A520" s="30"/>
    </row>
    <row r="521" spans="1:1">
      <c r="A521" s="30"/>
    </row>
    <row r="522" spans="1:1">
      <c r="A522" s="30"/>
    </row>
    <row r="523" spans="1:1">
      <c r="A523" s="30"/>
    </row>
    <row r="524" spans="1:1">
      <c r="A524" s="30"/>
    </row>
    <row r="525" spans="1:1">
      <c r="A525" s="30"/>
    </row>
    <row r="526" spans="1:1">
      <c r="A526" s="30"/>
    </row>
    <row r="527" spans="1:1">
      <c r="A527" s="30"/>
    </row>
    <row r="528" spans="1:1">
      <c r="A528" s="30"/>
    </row>
    <row r="529" spans="1:1">
      <c r="A529" s="30"/>
    </row>
    <row r="530" spans="1:1">
      <c r="A530" s="30"/>
    </row>
    <row r="531" spans="1:1">
      <c r="A531" s="30"/>
    </row>
    <row r="532" spans="1:1">
      <c r="A532" s="30"/>
    </row>
    <row r="533" spans="1:1">
      <c r="A533" s="30"/>
    </row>
    <row r="534" spans="1:1">
      <c r="A534" s="30"/>
    </row>
    <row r="535" spans="1:1">
      <c r="A535" s="30"/>
    </row>
    <row r="536" spans="1:1">
      <c r="A536" s="30"/>
    </row>
    <row r="537" spans="1:1">
      <c r="A537" s="30"/>
    </row>
    <row r="538" spans="1:1">
      <c r="A538" s="30"/>
    </row>
    <row r="539" spans="1:1">
      <c r="A539" s="30"/>
    </row>
    <row r="540" spans="1:1">
      <c r="A540" s="30"/>
    </row>
    <row r="541" spans="1:1">
      <c r="A541" s="30"/>
    </row>
    <row r="542" spans="1:1">
      <c r="A542" s="30"/>
    </row>
    <row r="543" spans="1:1">
      <c r="A543" s="30"/>
    </row>
    <row r="544" spans="1:1">
      <c r="A544" s="30"/>
    </row>
    <row r="545" spans="1:1">
      <c r="A545" s="30"/>
    </row>
    <row r="546" spans="1:1">
      <c r="A546" s="30"/>
    </row>
    <row r="547" spans="1:1">
      <c r="A547" s="30"/>
    </row>
    <row r="548" spans="1:1">
      <c r="A548" s="30"/>
    </row>
    <row r="549" spans="1:1">
      <c r="A549" s="30"/>
    </row>
    <row r="550" spans="1:1">
      <c r="A550" s="30"/>
    </row>
    <row r="551" spans="1:1">
      <c r="A551" s="30"/>
    </row>
    <row r="552" spans="1:1">
      <c r="A552" s="30"/>
    </row>
    <row r="553" spans="1:1">
      <c r="A553" s="30"/>
    </row>
    <row r="554" spans="1:1">
      <c r="A554" s="30"/>
    </row>
    <row r="555" spans="1:1">
      <c r="A555" s="30"/>
    </row>
    <row r="556" spans="1:1">
      <c r="A556" s="30"/>
    </row>
    <row r="557" spans="1:1">
      <c r="A557" s="30"/>
    </row>
    <row r="558" spans="1:1">
      <c r="A558" s="30"/>
    </row>
    <row r="559" spans="1:1">
      <c r="A559" s="30"/>
    </row>
    <row r="560" spans="1:1">
      <c r="A560" s="30"/>
    </row>
    <row r="561" spans="1:1">
      <c r="A561" s="30"/>
    </row>
    <row r="562" spans="1:1">
      <c r="A562" s="30"/>
    </row>
    <row r="563" spans="1:1">
      <c r="A563" s="30"/>
    </row>
    <row r="564" spans="1:1">
      <c r="A564" s="30"/>
    </row>
    <row r="565" spans="1:1">
      <c r="A565" s="30"/>
    </row>
    <row r="566" spans="1:1">
      <c r="A566" s="30"/>
    </row>
    <row r="567" spans="1:1">
      <c r="A567" s="30"/>
    </row>
    <row r="568" spans="1:1">
      <c r="A568" s="30"/>
    </row>
    <row r="569" spans="1:1">
      <c r="A569" s="30"/>
    </row>
    <row r="570" spans="1:1">
      <c r="A570" s="30"/>
    </row>
    <row r="571" spans="1:1">
      <c r="A571" s="30"/>
    </row>
    <row r="572" spans="1:1">
      <c r="A572" s="30"/>
    </row>
    <row r="573" spans="1:1">
      <c r="A573" s="30"/>
    </row>
    <row r="574" spans="1:1">
      <c r="A574" s="30"/>
    </row>
    <row r="575" spans="1:1">
      <c r="A575" s="30"/>
    </row>
    <row r="576" spans="1:1">
      <c r="A576" s="30"/>
    </row>
    <row r="577" spans="1:1">
      <c r="A577" s="30"/>
    </row>
    <row r="578" spans="1:1">
      <c r="A578" s="30"/>
    </row>
    <row r="579" spans="1:1">
      <c r="A579" s="30"/>
    </row>
    <row r="580" spans="1:1">
      <c r="A580" s="30"/>
    </row>
    <row r="581" spans="1:1">
      <c r="A581" s="30"/>
    </row>
    <row r="582" spans="1:1">
      <c r="A582" s="30"/>
    </row>
    <row r="583" spans="1:1">
      <c r="A583" s="30"/>
    </row>
    <row r="584" spans="1:1">
      <c r="A584" s="30"/>
    </row>
    <row r="585" spans="1:1">
      <c r="A585" s="30"/>
    </row>
    <row r="586" spans="1:1">
      <c r="A586" s="30"/>
    </row>
    <row r="587" spans="1:1">
      <c r="A587" s="30"/>
    </row>
    <row r="588" spans="1:1">
      <c r="A588" s="30"/>
    </row>
    <row r="589" spans="1:1">
      <c r="A589" s="30"/>
    </row>
    <row r="590" spans="1:1">
      <c r="A590" s="30"/>
    </row>
    <row r="591" spans="1:1">
      <c r="A591" s="30"/>
    </row>
    <row r="592" spans="1:1">
      <c r="A592" s="30"/>
    </row>
    <row r="593" spans="1:1">
      <c r="A593" s="30"/>
    </row>
    <row r="594" spans="1:1">
      <c r="A594" s="30"/>
    </row>
    <row r="595" spans="1:1">
      <c r="A595" s="30"/>
    </row>
    <row r="596" spans="1:1">
      <c r="A596" s="30"/>
    </row>
    <row r="597" spans="1:1">
      <c r="A597" s="30"/>
    </row>
    <row r="598" spans="1:1">
      <c r="A598" s="30"/>
    </row>
    <row r="599" spans="1:1">
      <c r="A599" s="30"/>
    </row>
    <row r="600" spans="1:1">
      <c r="A600" s="30"/>
    </row>
    <row r="601" spans="1:1">
      <c r="A601" s="30"/>
    </row>
    <row r="602" spans="1:1">
      <c r="A602" s="30"/>
    </row>
    <row r="603" spans="1:1">
      <c r="A603" s="30"/>
    </row>
    <row r="604" spans="1:1">
      <c r="A604" s="30"/>
    </row>
    <row r="605" spans="1:1">
      <c r="A605" s="30"/>
    </row>
    <row r="606" spans="1:1">
      <c r="A606" s="30"/>
    </row>
    <row r="607" spans="1:1">
      <c r="A607" s="30"/>
    </row>
    <row r="608" spans="1:1">
      <c r="A608" s="30"/>
    </row>
    <row r="609" spans="1:1">
      <c r="A609" s="30"/>
    </row>
    <row r="610" spans="1:1">
      <c r="A610" s="30"/>
    </row>
    <row r="611" spans="1:1">
      <c r="A611" s="30"/>
    </row>
    <row r="612" spans="1:1">
      <c r="A612" s="30"/>
    </row>
    <row r="613" spans="1:1">
      <c r="A613" s="30"/>
    </row>
    <row r="614" spans="1:1">
      <c r="A614" s="30"/>
    </row>
    <row r="615" spans="1:1">
      <c r="A615" s="30"/>
    </row>
    <row r="616" spans="1:1">
      <c r="A616" s="30"/>
    </row>
    <row r="617" spans="1:1">
      <c r="A617" s="30"/>
    </row>
    <row r="618" spans="1:1">
      <c r="A618" s="30"/>
    </row>
    <row r="619" spans="1:1">
      <c r="A619" s="30"/>
    </row>
    <row r="620" spans="1:1">
      <c r="A620" s="30"/>
    </row>
    <row r="621" spans="1:1">
      <c r="A621" s="30"/>
    </row>
    <row r="622" spans="1:1">
      <c r="A622" s="30"/>
    </row>
    <row r="623" spans="1:1">
      <c r="A623" s="30"/>
    </row>
    <row r="624" spans="1:1">
      <c r="A624" s="30"/>
    </row>
    <row r="625" spans="1:1">
      <c r="A625" s="30"/>
    </row>
    <row r="626" spans="1:1">
      <c r="A626" s="30"/>
    </row>
    <row r="627" spans="1:1">
      <c r="A627" s="30"/>
    </row>
    <row r="628" spans="1:1">
      <c r="A628" s="30"/>
    </row>
    <row r="629" spans="1:1">
      <c r="A629" s="30"/>
    </row>
    <row r="630" spans="1:1">
      <c r="A630" s="30"/>
    </row>
    <row r="631" spans="1:1">
      <c r="A631" s="30"/>
    </row>
    <row r="632" spans="1:1">
      <c r="A632" s="30"/>
    </row>
    <row r="633" spans="1:1">
      <c r="A633" s="30"/>
    </row>
    <row r="634" spans="1:1">
      <c r="A634" s="30"/>
    </row>
    <row r="635" spans="1:1">
      <c r="A635" s="30"/>
    </row>
    <row r="636" spans="1:1">
      <c r="A636" s="30"/>
    </row>
    <row r="637" spans="1:1">
      <c r="A637" s="30"/>
    </row>
    <row r="638" spans="1:1">
      <c r="A638" s="30"/>
    </row>
    <row r="639" spans="1:1">
      <c r="A639" s="30"/>
    </row>
    <row r="640" spans="1:1">
      <c r="A640" s="30"/>
    </row>
    <row r="641" spans="1:1">
      <c r="A641" s="30"/>
    </row>
    <row r="642" spans="1:1">
      <c r="A642" s="30"/>
    </row>
    <row r="643" spans="1:1">
      <c r="A643" s="30"/>
    </row>
    <row r="644" spans="1:1">
      <c r="A644" s="30"/>
    </row>
    <row r="645" spans="1:1">
      <c r="A645" s="30"/>
    </row>
    <row r="646" spans="1:1">
      <c r="A646" s="30"/>
    </row>
    <row r="647" spans="1:1">
      <c r="A647" s="30"/>
    </row>
    <row r="648" spans="1:1">
      <c r="A648" s="30"/>
    </row>
    <row r="649" spans="1:1">
      <c r="A649" s="30"/>
    </row>
    <row r="650" spans="1:1">
      <c r="A650" s="30"/>
    </row>
    <row r="651" spans="1:1">
      <c r="A651" s="30"/>
    </row>
    <row r="652" spans="1:1">
      <c r="A652" s="30"/>
    </row>
    <row r="653" spans="1:1">
      <c r="A653" s="30"/>
    </row>
    <row r="654" spans="1:1">
      <c r="A654" s="30"/>
    </row>
    <row r="655" spans="1:1">
      <c r="A655" s="30"/>
    </row>
    <row r="656" spans="1:1">
      <c r="A656" s="30"/>
    </row>
    <row r="657" spans="1:1">
      <c r="A657" s="30"/>
    </row>
    <row r="658" spans="1:1">
      <c r="A658" s="30"/>
    </row>
    <row r="659" spans="1:1">
      <c r="A659" s="30"/>
    </row>
    <row r="660" spans="1:1">
      <c r="A660" s="30"/>
    </row>
    <row r="661" spans="1:1">
      <c r="A661" s="30"/>
    </row>
    <row r="662" spans="1:1">
      <c r="A662" s="30"/>
    </row>
    <row r="663" spans="1:1">
      <c r="A663" s="30"/>
    </row>
    <row r="664" spans="1:1">
      <c r="A664" s="30"/>
    </row>
    <row r="665" spans="1:1">
      <c r="A665" s="30"/>
    </row>
    <row r="666" spans="1:1">
      <c r="A666" s="30"/>
    </row>
    <row r="667" spans="1:1">
      <c r="A667" s="30"/>
    </row>
    <row r="668" spans="1:1">
      <c r="A668" s="30"/>
    </row>
    <row r="669" spans="1:1">
      <c r="A669" s="30"/>
    </row>
    <row r="670" spans="1:1">
      <c r="A670" s="30"/>
    </row>
    <row r="671" spans="1:1">
      <c r="A671" s="30"/>
    </row>
    <row r="672" spans="1:1">
      <c r="A672" s="30"/>
    </row>
    <row r="673" spans="1:1">
      <c r="A673" s="30"/>
    </row>
    <row r="674" spans="1:1">
      <c r="A674" s="30"/>
    </row>
    <row r="675" spans="1:1">
      <c r="A675" s="30"/>
    </row>
    <row r="676" spans="1:1">
      <c r="A676" s="30"/>
    </row>
    <row r="677" spans="1:1">
      <c r="A677" s="30"/>
    </row>
    <row r="678" spans="1:1">
      <c r="A678" s="30"/>
    </row>
    <row r="679" spans="1:1">
      <c r="A679" s="30"/>
    </row>
    <row r="680" spans="1:1">
      <c r="A680" s="30"/>
    </row>
    <row r="681" spans="1:1">
      <c r="A681" s="30"/>
    </row>
    <row r="682" spans="1:1">
      <c r="A682" s="30"/>
    </row>
    <row r="683" spans="1:1">
      <c r="A683" s="30"/>
    </row>
    <row r="684" spans="1:1">
      <c r="A684" s="30"/>
    </row>
    <row r="685" spans="1:1">
      <c r="A685" s="30"/>
    </row>
    <row r="686" spans="1:1">
      <c r="A686" s="30"/>
    </row>
    <row r="687" spans="1:1">
      <c r="A687" s="30"/>
    </row>
    <row r="688" spans="1:1">
      <c r="A688" s="30"/>
    </row>
    <row r="689" spans="1:1">
      <c r="A689" s="30"/>
    </row>
    <row r="690" spans="1:1">
      <c r="A690" s="30"/>
    </row>
    <row r="691" spans="1:1">
      <c r="A691" s="30"/>
    </row>
    <row r="692" spans="1:1">
      <c r="A692" s="30"/>
    </row>
    <row r="693" spans="1:1">
      <c r="A693" s="30"/>
    </row>
    <row r="694" spans="1:1">
      <c r="A694" s="30"/>
    </row>
    <row r="695" spans="1:1">
      <c r="A695" s="30"/>
    </row>
    <row r="696" spans="1:1">
      <c r="A696" s="30"/>
    </row>
    <row r="697" spans="1:1">
      <c r="A697" s="30"/>
    </row>
    <row r="698" spans="1:1">
      <c r="A698" s="30"/>
    </row>
    <row r="699" spans="1:1">
      <c r="A699" s="30"/>
    </row>
    <row r="700" spans="1:1">
      <c r="A700" s="30"/>
    </row>
  </sheetData>
  <mergeCells count="3">
    <mergeCell ref="M3:N3"/>
    <mergeCell ref="B2:D2"/>
    <mergeCell ref="E2:N2"/>
  </mergeCells>
  <phoneticPr fontId="1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898" r:id="rId4" name="编制会计分录">
          <controlPr defaultSize="0" autoLine="0" autoPict="0" r:id="rId5">
            <anchor moveWithCells="1">
              <from>
                <xdr:col>1</xdr:col>
                <xdr:colOff>247650</xdr:colOff>
                <xdr:row>1</xdr:row>
                <xdr:rowOff>1238250</xdr:rowOff>
              </from>
              <to>
                <xdr:col>2</xdr:col>
                <xdr:colOff>295275</xdr:colOff>
                <xdr:row>1</xdr:row>
                <xdr:rowOff>1752600</xdr:rowOff>
              </to>
            </anchor>
          </controlPr>
        </control>
      </mc:Choice>
      <mc:Fallback>
        <control shapeId="8898" r:id="rId4" name="编制会计分录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>
              <from>
                <xdr:col>1</xdr:col>
                <xdr:colOff>247650</xdr:colOff>
                <xdr:row>1</xdr:row>
                <xdr:rowOff>533400</xdr:rowOff>
              </from>
              <to>
                <xdr:col>2</xdr:col>
                <xdr:colOff>295275</xdr:colOff>
                <xdr:row>1</xdr:row>
                <xdr:rowOff>1057275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2</xdr:col>
                <xdr:colOff>819150</xdr:colOff>
                <xdr:row>1</xdr:row>
                <xdr:rowOff>628650</xdr:rowOff>
              </from>
              <to>
                <xdr:col>3</xdr:col>
                <xdr:colOff>885825</xdr:colOff>
                <xdr:row>1</xdr:row>
                <xdr:rowOff>1657350</xdr:rowOff>
              </to>
            </anchor>
          </controlPr>
        </control>
      </mc:Choice>
      <mc:Fallback>
        <control shapeId="8194" r:id="rId8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J9"/>
  <sheetViews>
    <sheetView zoomScale="69" zoomScaleNormal="69" workbookViewId="0">
      <selection activeCell="F9" sqref="F9"/>
    </sheetView>
  </sheetViews>
  <sheetFormatPr defaultRowHeight="15.75"/>
  <cols>
    <col min="2" max="2" width="32" customWidth="1"/>
    <col min="3" max="3" width="21.375" customWidth="1"/>
    <col min="4" max="4" width="46" customWidth="1"/>
    <col min="5" max="5" width="17.875" customWidth="1"/>
    <col min="6" max="6" width="26.375" customWidth="1"/>
    <col min="10" max="10" width="57" customWidth="1"/>
  </cols>
  <sheetData>
    <row r="1" spans="2:10" ht="16.5" thickBot="1"/>
    <row r="2" spans="2:10" ht="103.5" customHeight="1">
      <c r="B2" s="71" t="s">
        <v>3</v>
      </c>
      <c r="C2" s="72"/>
      <c r="D2" s="81"/>
      <c r="E2" s="79" t="s">
        <v>2</v>
      </c>
      <c r="F2" s="73" t="s">
        <v>200</v>
      </c>
      <c r="G2" s="73"/>
      <c r="H2" s="73"/>
      <c r="I2" s="73"/>
      <c r="J2" s="74"/>
    </row>
    <row r="3" spans="2:10" ht="88.5" customHeight="1" thickBot="1">
      <c r="B3" s="77" t="s">
        <v>182</v>
      </c>
      <c r="C3" s="78"/>
      <c r="D3" s="82">
        <v>0.1</v>
      </c>
      <c r="E3" s="80"/>
      <c r="F3" s="75"/>
      <c r="G3" s="75"/>
      <c r="H3" s="75"/>
      <c r="I3" s="75"/>
      <c r="J3" s="76"/>
    </row>
    <row r="4" spans="2:10" ht="31.5" customHeight="1">
      <c r="B4" s="77" t="s">
        <v>4</v>
      </c>
      <c r="C4" s="43" t="s">
        <v>5</v>
      </c>
      <c r="D4" s="13">
        <v>3000</v>
      </c>
      <c r="E4" s="9"/>
      <c r="F4" s="9"/>
      <c r="G4" s="9"/>
      <c r="H4" s="9"/>
      <c r="I4" s="9"/>
      <c r="J4" s="9"/>
    </row>
    <row r="5" spans="2:10" ht="24.75">
      <c r="B5" s="77"/>
      <c r="C5" s="43" t="s">
        <v>6</v>
      </c>
      <c r="D5" s="13">
        <v>7000</v>
      </c>
      <c r="E5" s="9"/>
      <c r="F5" s="9"/>
      <c r="G5" s="9"/>
      <c r="H5" s="9"/>
      <c r="I5" s="9"/>
      <c r="J5" s="9"/>
    </row>
    <row r="6" spans="2:10" ht="33.75" customHeight="1">
      <c r="B6" s="77"/>
      <c r="C6" s="43" t="s">
        <v>7</v>
      </c>
      <c r="D6" s="13">
        <v>10000</v>
      </c>
      <c r="E6" s="9"/>
      <c r="F6" s="9"/>
      <c r="G6" s="9"/>
      <c r="H6" s="9"/>
      <c r="I6" s="9"/>
      <c r="J6" s="9"/>
    </row>
    <row r="7" spans="2:10" ht="24.75">
      <c r="B7" s="77"/>
      <c r="C7" s="43" t="s">
        <v>8</v>
      </c>
      <c r="D7" s="13">
        <v>12000</v>
      </c>
      <c r="E7" s="9"/>
      <c r="F7" s="9"/>
      <c r="G7" s="9"/>
      <c r="H7" s="9"/>
      <c r="I7" s="9"/>
      <c r="J7" s="9"/>
    </row>
    <row r="8" spans="2:10" ht="24.75">
      <c r="B8" s="77"/>
      <c r="C8" s="43" t="s">
        <v>9</v>
      </c>
      <c r="D8" s="13">
        <v>20000</v>
      </c>
      <c r="E8" s="9"/>
      <c r="F8" s="9"/>
      <c r="G8" s="9"/>
      <c r="H8" s="9"/>
      <c r="I8" s="9"/>
      <c r="J8" s="9"/>
    </row>
    <row r="9" spans="2:10" ht="39" customHeight="1" thickBot="1">
      <c r="B9" s="83" t="s">
        <v>199</v>
      </c>
      <c r="C9" s="84"/>
      <c r="D9" s="85">
        <v>10</v>
      </c>
    </row>
  </sheetData>
  <mergeCells count="6">
    <mergeCell ref="B9:C9"/>
    <mergeCell ref="B2:D2"/>
    <mergeCell ref="E2:E3"/>
    <mergeCell ref="F2:J3"/>
    <mergeCell ref="B3:C3"/>
    <mergeCell ref="B4:B8"/>
  </mergeCells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58"/>
  <sheetViews>
    <sheetView workbookViewId="0">
      <selection activeCell="C4" sqref="C4"/>
    </sheetView>
  </sheetViews>
  <sheetFormatPr defaultColWidth="10.875" defaultRowHeight="30.95" customHeight="1"/>
  <cols>
    <col min="1" max="1" width="17.625" style="4" customWidth="1"/>
    <col min="2" max="2" width="20.875" style="4" customWidth="1"/>
    <col min="3" max="3" width="14.625" style="4" customWidth="1"/>
    <col min="4" max="4" width="16" style="4" customWidth="1"/>
    <col min="5" max="6" width="15.875" style="4" customWidth="1"/>
    <col min="7" max="7" width="15" style="4" customWidth="1"/>
    <col min="8" max="8" width="10.875" style="4"/>
    <col min="9" max="9" width="13.125" style="4" bestFit="1" customWidth="1"/>
    <col min="10" max="16384" width="10.875" style="4"/>
  </cols>
  <sheetData>
    <row r="1" spans="1:7" s="5" customFormat="1" ht="30.95" customHeight="1" thickBot="1">
      <c r="A1" s="2" t="s">
        <v>21</v>
      </c>
      <c r="B1" s="5" t="s">
        <v>16</v>
      </c>
      <c r="C1" s="5" t="s">
        <v>198</v>
      </c>
      <c r="D1" s="5" t="s">
        <v>17</v>
      </c>
      <c r="E1" s="5" t="s">
        <v>18</v>
      </c>
      <c r="F1" s="5" t="s">
        <v>19</v>
      </c>
      <c r="G1" s="5" t="s">
        <v>20</v>
      </c>
    </row>
    <row r="2" spans="1:7" s="3" customFormat="1" ht="30.95" customHeight="1">
      <c r="A2" s="24">
        <v>1712320</v>
      </c>
      <c r="B2" s="6" t="s">
        <v>23</v>
      </c>
      <c r="C2" s="3">
        <v>1976</v>
      </c>
      <c r="D2" s="6" t="s">
        <v>180</v>
      </c>
      <c r="E2" s="3" t="s">
        <v>5</v>
      </c>
      <c r="F2" s="3">
        <v>80</v>
      </c>
      <c r="G2" s="3">
        <v>1998</v>
      </c>
    </row>
    <row r="3" spans="1:7" s="3" customFormat="1" ht="30.95" customHeight="1">
      <c r="A3" s="24">
        <v>1712321</v>
      </c>
      <c r="B3" s="6" t="s">
        <v>24</v>
      </c>
      <c r="C3" s="3">
        <v>1986</v>
      </c>
      <c r="D3" s="6" t="s">
        <v>180</v>
      </c>
      <c r="E3" s="3" t="s">
        <v>5</v>
      </c>
      <c r="F3" s="3">
        <v>80</v>
      </c>
      <c r="G3" s="3">
        <v>2008</v>
      </c>
    </row>
    <row r="4" spans="1:7" s="3" customFormat="1" ht="30.95" customHeight="1">
      <c r="A4" s="24">
        <v>1712322</v>
      </c>
      <c r="B4" s="6" t="s">
        <v>25</v>
      </c>
      <c r="C4" s="3">
        <v>1998</v>
      </c>
      <c r="D4" s="6" t="s">
        <v>180</v>
      </c>
      <c r="E4" s="3" t="s">
        <v>5</v>
      </c>
      <c r="F4" s="3">
        <v>80</v>
      </c>
      <c r="G4" s="3">
        <v>2020</v>
      </c>
    </row>
    <row r="5" spans="1:7" s="3" customFormat="1" ht="30.95" customHeight="1">
      <c r="A5" s="24">
        <v>1712323</v>
      </c>
      <c r="B5" s="6" t="s">
        <v>26</v>
      </c>
      <c r="C5" s="3">
        <v>1984</v>
      </c>
      <c r="D5" s="6" t="s">
        <v>180</v>
      </c>
      <c r="E5" s="3" t="s">
        <v>5</v>
      </c>
      <c r="F5" s="3">
        <v>80</v>
      </c>
      <c r="G5" s="3">
        <v>2006</v>
      </c>
    </row>
    <row r="6" spans="1:7" s="3" customFormat="1" ht="30.95" customHeight="1">
      <c r="A6" s="24">
        <v>1712324</v>
      </c>
      <c r="B6" s="6" t="s">
        <v>27</v>
      </c>
      <c r="C6" s="3">
        <v>1980</v>
      </c>
      <c r="D6" s="6" t="s">
        <v>180</v>
      </c>
      <c r="E6" s="3" t="s">
        <v>5</v>
      </c>
      <c r="F6" s="3">
        <v>80</v>
      </c>
      <c r="G6" s="3">
        <v>2002</v>
      </c>
    </row>
    <row r="7" spans="1:7" s="3" customFormat="1" ht="30.95" customHeight="1">
      <c r="A7" s="24">
        <v>1712325</v>
      </c>
      <c r="B7" s="6" t="s">
        <v>28</v>
      </c>
      <c r="C7" s="3">
        <v>1972</v>
      </c>
      <c r="D7" s="6" t="s">
        <v>180</v>
      </c>
      <c r="E7" s="3" t="s">
        <v>5</v>
      </c>
      <c r="F7" s="3">
        <v>80</v>
      </c>
      <c r="G7" s="3">
        <v>1994</v>
      </c>
    </row>
    <row r="8" spans="1:7" s="3" customFormat="1" ht="30.95" customHeight="1">
      <c r="A8" s="24">
        <v>1712326</v>
      </c>
      <c r="B8" s="6" t="s">
        <v>29</v>
      </c>
      <c r="C8" s="3">
        <v>1976</v>
      </c>
      <c r="D8" s="6" t="s">
        <v>180</v>
      </c>
      <c r="E8" s="3" t="s">
        <v>5</v>
      </c>
      <c r="F8" s="3">
        <v>80</v>
      </c>
      <c r="G8" s="3">
        <v>1998</v>
      </c>
    </row>
    <row r="9" spans="1:7" s="3" customFormat="1" ht="30.95" customHeight="1">
      <c r="A9" s="24">
        <v>1712327</v>
      </c>
      <c r="B9" s="6" t="s">
        <v>30</v>
      </c>
      <c r="C9" s="3">
        <v>1990</v>
      </c>
      <c r="D9" s="6" t="s">
        <v>180</v>
      </c>
      <c r="E9" s="3" t="s">
        <v>5</v>
      </c>
      <c r="F9" s="3">
        <v>80</v>
      </c>
      <c r="G9" s="3">
        <v>2012</v>
      </c>
    </row>
    <row r="10" spans="1:7" s="3" customFormat="1" ht="30.95" customHeight="1">
      <c r="A10" s="24">
        <v>1712328</v>
      </c>
      <c r="B10" s="6" t="s">
        <v>31</v>
      </c>
      <c r="C10" s="3">
        <v>1988</v>
      </c>
      <c r="D10" s="6" t="s">
        <v>180</v>
      </c>
      <c r="E10" s="3" t="s">
        <v>5</v>
      </c>
      <c r="F10" s="3">
        <v>80</v>
      </c>
      <c r="G10" s="3">
        <v>2010</v>
      </c>
    </row>
    <row r="11" spans="1:7" s="3" customFormat="1" ht="30.95" customHeight="1">
      <c r="A11" s="24">
        <v>1712329</v>
      </c>
      <c r="B11" s="6" t="s">
        <v>32</v>
      </c>
      <c r="C11" s="3">
        <v>1982</v>
      </c>
      <c r="D11" s="6" t="s">
        <v>180</v>
      </c>
      <c r="E11" s="3" t="s">
        <v>5</v>
      </c>
      <c r="F11" s="3">
        <v>80</v>
      </c>
      <c r="G11" s="3">
        <v>2004</v>
      </c>
    </row>
    <row r="12" spans="1:7" s="3" customFormat="1" ht="30.95" customHeight="1">
      <c r="A12" s="24">
        <v>1712330</v>
      </c>
      <c r="B12" s="6" t="s">
        <v>33</v>
      </c>
      <c r="C12" s="3">
        <v>1982</v>
      </c>
      <c r="D12" s="6" t="s">
        <v>180</v>
      </c>
      <c r="E12" s="3" t="s">
        <v>5</v>
      </c>
      <c r="F12" s="3">
        <v>80</v>
      </c>
      <c r="G12" s="3">
        <v>2004</v>
      </c>
    </row>
    <row r="13" spans="1:7" s="3" customFormat="1" ht="30.95" customHeight="1">
      <c r="A13" s="24">
        <v>1712331</v>
      </c>
      <c r="B13" s="6" t="s">
        <v>34</v>
      </c>
      <c r="C13" s="3">
        <v>1975</v>
      </c>
      <c r="D13" s="6" t="s">
        <v>180</v>
      </c>
      <c r="E13" s="3" t="s">
        <v>5</v>
      </c>
      <c r="F13" s="3">
        <v>80</v>
      </c>
      <c r="G13" s="3">
        <v>1997</v>
      </c>
    </row>
    <row r="14" spans="1:7" s="3" customFormat="1" ht="30.95" customHeight="1">
      <c r="A14" s="24">
        <v>1712332</v>
      </c>
      <c r="B14" s="6" t="s">
        <v>35</v>
      </c>
      <c r="C14" s="3">
        <v>1978</v>
      </c>
      <c r="D14" s="6" t="s">
        <v>180</v>
      </c>
      <c r="E14" s="3" t="s">
        <v>5</v>
      </c>
      <c r="F14" s="3">
        <v>80</v>
      </c>
      <c r="G14" s="3">
        <v>2000</v>
      </c>
    </row>
    <row r="15" spans="1:7" s="3" customFormat="1" ht="30.95" customHeight="1">
      <c r="A15" s="24">
        <v>1712333</v>
      </c>
      <c r="B15" s="6" t="s">
        <v>36</v>
      </c>
      <c r="C15" s="3">
        <v>1979</v>
      </c>
      <c r="D15" s="6" t="s">
        <v>180</v>
      </c>
      <c r="E15" s="3" t="s">
        <v>5</v>
      </c>
      <c r="F15" s="3">
        <v>80</v>
      </c>
      <c r="G15" s="3">
        <v>2001</v>
      </c>
    </row>
    <row r="16" spans="1:7" s="3" customFormat="1" ht="30.95" customHeight="1">
      <c r="A16" s="24">
        <v>1712334</v>
      </c>
      <c r="B16" s="6" t="s">
        <v>37</v>
      </c>
      <c r="C16" s="3">
        <v>1980</v>
      </c>
      <c r="D16" s="6" t="s">
        <v>180</v>
      </c>
      <c r="E16" s="3" t="s">
        <v>5</v>
      </c>
      <c r="F16" s="3">
        <v>80</v>
      </c>
      <c r="G16" s="3">
        <v>2002</v>
      </c>
    </row>
    <row r="17" spans="1:7" s="3" customFormat="1" ht="30.95" customHeight="1">
      <c r="A17" s="24">
        <v>1712335</v>
      </c>
      <c r="B17" s="6" t="s">
        <v>38</v>
      </c>
      <c r="C17" s="3">
        <v>1981</v>
      </c>
      <c r="D17" s="6" t="s">
        <v>180</v>
      </c>
      <c r="E17" s="3" t="s">
        <v>5</v>
      </c>
      <c r="F17" s="3">
        <v>80</v>
      </c>
      <c r="G17" s="3">
        <v>2003</v>
      </c>
    </row>
    <row r="18" spans="1:7" s="3" customFormat="1" ht="30.95" customHeight="1">
      <c r="A18" s="24">
        <v>1712387</v>
      </c>
      <c r="B18" s="6" t="s">
        <v>39</v>
      </c>
      <c r="C18" s="3">
        <v>1982</v>
      </c>
      <c r="D18" s="6" t="s">
        <v>181</v>
      </c>
      <c r="E18" s="3" t="s">
        <v>5</v>
      </c>
      <c r="F18" s="3">
        <v>80</v>
      </c>
      <c r="G18" s="3">
        <v>2004</v>
      </c>
    </row>
    <row r="19" spans="1:7" s="3" customFormat="1" ht="30.95" customHeight="1">
      <c r="A19" s="24">
        <v>1712388</v>
      </c>
      <c r="B19" s="6" t="s">
        <v>40</v>
      </c>
      <c r="C19" s="3">
        <v>1983</v>
      </c>
      <c r="D19" s="6" t="s">
        <v>181</v>
      </c>
      <c r="E19" s="3" t="s">
        <v>5</v>
      </c>
      <c r="F19" s="3">
        <v>80</v>
      </c>
      <c r="G19" s="3">
        <v>2005</v>
      </c>
    </row>
    <row r="20" spans="1:7" s="3" customFormat="1" ht="30.95" customHeight="1">
      <c r="A20" s="24">
        <v>1712389</v>
      </c>
      <c r="B20" s="6" t="s">
        <v>41</v>
      </c>
      <c r="C20" s="3">
        <v>1974</v>
      </c>
      <c r="D20" s="6" t="s">
        <v>181</v>
      </c>
      <c r="E20" s="3" t="s">
        <v>5</v>
      </c>
      <c r="F20" s="3">
        <v>80</v>
      </c>
      <c r="G20" s="3">
        <v>1996</v>
      </c>
    </row>
    <row r="21" spans="1:7" s="3" customFormat="1" ht="30.95" customHeight="1">
      <c r="A21" s="24">
        <v>1712390</v>
      </c>
      <c r="B21" s="6" t="s">
        <v>42</v>
      </c>
      <c r="C21" s="3">
        <v>1980</v>
      </c>
      <c r="D21" s="6" t="s">
        <v>181</v>
      </c>
      <c r="E21" s="3" t="s">
        <v>5</v>
      </c>
      <c r="F21" s="3">
        <v>80</v>
      </c>
      <c r="G21" s="3">
        <v>2002</v>
      </c>
    </row>
    <row r="22" spans="1:7" s="3" customFormat="1" ht="30.95" customHeight="1">
      <c r="A22" s="24">
        <v>1712391</v>
      </c>
      <c r="B22" s="6" t="s">
        <v>43</v>
      </c>
      <c r="C22" s="3">
        <v>1988</v>
      </c>
      <c r="D22" s="6" t="s">
        <v>181</v>
      </c>
      <c r="E22" s="3" t="s">
        <v>5</v>
      </c>
      <c r="F22" s="3">
        <v>80</v>
      </c>
      <c r="G22" s="3">
        <v>2010</v>
      </c>
    </row>
    <row r="23" spans="1:7" s="3" customFormat="1" ht="30.95" customHeight="1">
      <c r="A23" s="24">
        <v>1712392</v>
      </c>
      <c r="B23" s="6" t="s">
        <v>44</v>
      </c>
      <c r="C23" s="3">
        <v>1976</v>
      </c>
      <c r="D23" s="6" t="s">
        <v>181</v>
      </c>
      <c r="E23" s="3" t="s">
        <v>5</v>
      </c>
      <c r="F23" s="3">
        <v>80</v>
      </c>
      <c r="G23" s="3">
        <v>1998</v>
      </c>
    </row>
    <row r="24" spans="1:7" s="3" customFormat="1" ht="30.95" customHeight="1">
      <c r="A24" s="24">
        <v>1712393</v>
      </c>
      <c r="B24" s="6" t="s">
        <v>45</v>
      </c>
      <c r="C24" s="3">
        <v>1974</v>
      </c>
      <c r="D24" s="6" t="s">
        <v>181</v>
      </c>
      <c r="E24" s="3" t="s">
        <v>5</v>
      </c>
      <c r="F24" s="3">
        <v>80</v>
      </c>
      <c r="G24" s="3">
        <v>1996</v>
      </c>
    </row>
    <row r="25" spans="1:7" s="3" customFormat="1" ht="30.95" customHeight="1">
      <c r="A25" s="24">
        <v>1712394</v>
      </c>
      <c r="B25" s="6" t="s">
        <v>46</v>
      </c>
      <c r="C25" s="3">
        <v>1980</v>
      </c>
      <c r="D25" s="6" t="s">
        <v>181</v>
      </c>
      <c r="E25" s="3" t="s">
        <v>5</v>
      </c>
      <c r="F25" s="3">
        <v>80</v>
      </c>
      <c r="G25" s="3">
        <v>2002</v>
      </c>
    </row>
    <row r="26" spans="1:7" s="3" customFormat="1" ht="30.95" customHeight="1">
      <c r="A26" s="24">
        <v>1712395</v>
      </c>
      <c r="B26" s="6" t="s">
        <v>47</v>
      </c>
      <c r="C26" s="3">
        <v>1998</v>
      </c>
      <c r="D26" s="6" t="s">
        <v>181</v>
      </c>
      <c r="E26" s="3" t="s">
        <v>5</v>
      </c>
      <c r="F26" s="3">
        <v>80</v>
      </c>
      <c r="G26" s="3">
        <v>2020</v>
      </c>
    </row>
    <row r="27" spans="1:7" s="3" customFormat="1" ht="30.95" customHeight="1">
      <c r="A27" s="24">
        <v>1712396</v>
      </c>
      <c r="B27" s="6" t="s">
        <v>48</v>
      </c>
      <c r="C27" s="3">
        <v>1996</v>
      </c>
      <c r="D27" s="6" t="s">
        <v>181</v>
      </c>
      <c r="E27" s="3" t="s">
        <v>5</v>
      </c>
      <c r="F27" s="3">
        <v>80</v>
      </c>
      <c r="G27" s="3">
        <v>2018</v>
      </c>
    </row>
    <row r="28" spans="1:7" s="3" customFormat="1" ht="30.95" customHeight="1">
      <c r="A28" s="24">
        <v>1712397</v>
      </c>
      <c r="B28" s="6" t="s">
        <v>49</v>
      </c>
      <c r="C28" s="3">
        <v>1989</v>
      </c>
      <c r="D28" s="6" t="s">
        <v>181</v>
      </c>
      <c r="E28" s="3" t="s">
        <v>5</v>
      </c>
      <c r="F28" s="3">
        <v>80</v>
      </c>
      <c r="G28" s="3">
        <v>2011</v>
      </c>
    </row>
    <row r="29" spans="1:7" s="3" customFormat="1" ht="30.95" customHeight="1">
      <c r="A29" s="24">
        <v>1712398</v>
      </c>
      <c r="B29" s="6" t="s">
        <v>50</v>
      </c>
      <c r="C29" s="3">
        <v>1973</v>
      </c>
      <c r="D29" s="6" t="s">
        <v>181</v>
      </c>
      <c r="E29" s="3" t="s">
        <v>5</v>
      </c>
      <c r="F29" s="3">
        <v>80</v>
      </c>
      <c r="G29" s="3">
        <v>1995</v>
      </c>
    </row>
    <row r="30" spans="1:7" s="3" customFormat="1" ht="30.95" customHeight="1">
      <c r="A30" s="24">
        <v>1712399</v>
      </c>
      <c r="B30" s="6" t="s">
        <v>51</v>
      </c>
      <c r="C30" s="3">
        <v>1980</v>
      </c>
      <c r="D30" s="6" t="s">
        <v>181</v>
      </c>
      <c r="E30" s="3" t="s">
        <v>5</v>
      </c>
      <c r="F30" s="3">
        <v>80</v>
      </c>
      <c r="G30" s="3">
        <v>2002</v>
      </c>
    </row>
    <row r="31" spans="1:7" s="3" customFormat="1" ht="30.95" customHeight="1">
      <c r="A31" s="24">
        <v>1712400</v>
      </c>
      <c r="B31" s="6" t="s">
        <v>52</v>
      </c>
      <c r="C31" s="3">
        <v>1970</v>
      </c>
      <c r="D31" s="6" t="s">
        <v>181</v>
      </c>
      <c r="E31" s="3" t="s">
        <v>5</v>
      </c>
      <c r="F31" s="3">
        <v>80</v>
      </c>
      <c r="G31" s="3">
        <v>1992</v>
      </c>
    </row>
    <row r="32" spans="1:7" s="3" customFormat="1" ht="30.95" customHeight="1">
      <c r="A32" s="24">
        <v>1712401</v>
      </c>
      <c r="B32" s="6" t="s">
        <v>53</v>
      </c>
      <c r="C32" s="3">
        <v>1987</v>
      </c>
      <c r="D32" s="6" t="s">
        <v>181</v>
      </c>
      <c r="E32" s="3" t="s">
        <v>5</v>
      </c>
      <c r="F32" s="3">
        <v>80</v>
      </c>
      <c r="G32" s="3">
        <v>2009</v>
      </c>
    </row>
    <row r="33" spans="1:7" s="3" customFormat="1" ht="30.95" customHeight="1">
      <c r="A33" s="24">
        <v>1712402</v>
      </c>
      <c r="B33" s="6" t="s">
        <v>54</v>
      </c>
      <c r="C33" s="3">
        <v>1988</v>
      </c>
      <c r="D33" s="6" t="s">
        <v>181</v>
      </c>
      <c r="E33" s="3" t="s">
        <v>5</v>
      </c>
      <c r="F33" s="3">
        <v>80</v>
      </c>
      <c r="G33" s="3">
        <v>2010</v>
      </c>
    </row>
    <row r="34" spans="1:7" s="3" customFormat="1" ht="30.95" customHeight="1">
      <c r="A34" s="24">
        <v>1712403</v>
      </c>
      <c r="B34" s="6" t="s">
        <v>55</v>
      </c>
      <c r="C34" s="3">
        <v>1990</v>
      </c>
      <c r="D34" s="6" t="s">
        <v>181</v>
      </c>
      <c r="E34" s="3" t="s">
        <v>5</v>
      </c>
      <c r="F34" s="3">
        <v>80</v>
      </c>
      <c r="G34" s="3">
        <v>2012</v>
      </c>
    </row>
    <row r="35" spans="1:7" s="3" customFormat="1" ht="30.95" customHeight="1">
      <c r="A35" s="24">
        <v>1712404</v>
      </c>
      <c r="B35" s="6" t="s">
        <v>56</v>
      </c>
      <c r="C35" s="3">
        <v>1994</v>
      </c>
      <c r="D35" s="6" t="s">
        <v>181</v>
      </c>
      <c r="E35" s="3" t="s">
        <v>5</v>
      </c>
      <c r="F35" s="3">
        <v>80</v>
      </c>
      <c r="G35" s="3">
        <v>2016</v>
      </c>
    </row>
    <row r="36" spans="1:7" s="3" customFormat="1" ht="30.95" customHeight="1">
      <c r="A36" s="24">
        <v>1712405</v>
      </c>
      <c r="B36" s="6" t="s">
        <v>57</v>
      </c>
      <c r="C36" s="3">
        <v>1992</v>
      </c>
      <c r="D36" s="6" t="s">
        <v>181</v>
      </c>
      <c r="E36" s="3" t="s">
        <v>5</v>
      </c>
      <c r="F36" s="3">
        <v>80</v>
      </c>
      <c r="G36" s="3">
        <v>2014</v>
      </c>
    </row>
    <row r="37" spans="1:7" s="3" customFormat="1" ht="30.95" customHeight="1">
      <c r="A37" s="24">
        <v>1712406</v>
      </c>
      <c r="B37" s="6" t="s">
        <v>58</v>
      </c>
      <c r="C37" s="3">
        <v>1998</v>
      </c>
      <c r="D37" s="6" t="s">
        <v>181</v>
      </c>
      <c r="E37" s="3" t="s">
        <v>5</v>
      </c>
      <c r="F37" s="3">
        <v>80</v>
      </c>
      <c r="G37" s="3">
        <v>2020</v>
      </c>
    </row>
    <row r="38" spans="1:7" s="3" customFormat="1" ht="30.95" customHeight="1">
      <c r="A38" s="24">
        <v>1712407</v>
      </c>
      <c r="B38" s="6" t="s">
        <v>59</v>
      </c>
      <c r="C38" s="3">
        <v>1994</v>
      </c>
      <c r="D38" s="6" t="s">
        <v>181</v>
      </c>
      <c r="E38" s="3" t="s">
        <v>5</v>
      </c>
      <c r="F38" s="3">
        <v>80</v>
      </c>
      <c r="G38" s="3">
        <v>2016</v>
      </c>
    </row>
    <row r="39" spans="1:7" s="3" customFormat="1" ht="30.95" customHeight="1">
      <c r="A39" s="24">
        <v>1712409</v>
      </c>
      <c r="B39" s="6" t="s">
        <v>60</v>
      </c>
      <c r="C39" s="3">
        <v>1996</v>
      </c>
      <c r="D39" s="6" t="s">
        <v>181</v>
      </c>
      <c r="E39" s="3" t="s">
        <v>5</v>
      </c>
      <c r="F39" s="3">
        <v>80</v>
      </c>
      <c r="G39" s="3">
        <v>2018</v>
      </c>
    </row>
    <row r="40" spans="1:7" s="3" customFormat="1" ht="30.95" customHeight="1">
      <c r="A40" s="24">
        <v>1712410</v>
      </c>
      <c r="B40" s="6" t="s">
        <v>61</v>
      </c>
      <c r="C40" s="3">
        <v>1974</v>
      </c>
      <c r="D40" s="6" t="s">
        <v>181</v>
      </c>
      <c r="E40" s="3" t="s">
        <v>5</v>
      </c>
      <c r="F40" s="3">
        <v>80</v>
      </c>
      <c r="G40" s="3">
        <v>1996</v>
      </c>
    </row>
    <row r="41" spans="1:7" s="3" customFormat="1" ht="30.95" customHeight="1">
      <c r="A41" s="24">
        <v>1712411</v>
      </c>
      <c r="B41" s="6" t="s">
        <v>62</v>
      </c>
      <c r="C41" s="3">
        <v>1980</v>
      </c>
      <c r="D41" s="6" t="s">
        <v>181</v>
      </c>
      <c r="E41" s="3" t="s">
        <v>5</v>
      </c>
      <c r="F41" s="3">
        <v>80</v>
      </c>
      <c r="G41" s="3">
        <v>2002</v>
      </c>
    </row>
    <row r="42" spans="1:7" s="3" customFormat="1" ht="30.95" customHeight="1">
      <c r="A42" s="24">
        <v>1712336</v>
      </c>
      <c r="B42" s="3" t="s">
        <v>63</v>
      </c>
      <c r="C42" s="3">
        <v>1976</v>
      </c>
      <c r="D42" s="3" t="s">
        <v>180</v>
      </c>
      <c r="E42" s="3" t="s">
        <v>5</v>
      </c>
      <c r="F42" s="3">
        <v>80</v>
      </c>
      <c r="G42" s="3">
        <v>1998</v>
      </c>
    </row>
    <row r="43" spans="1:7" s="3" customFormat="1" ht="30.95" customHeight="1">
      <c r="A43" s="24">
        <v>1712337</v>
      </c>
      <c r="B43" s="3" t="s">
        <v>64</v>
      </c>
      <c r="C43" s="3">
        <v>1970</v>
      </c>
      <c r="D43" s="3" t="s">
        <v>180</v>
      </c>
      <c r="E43" s="3" t="s">
        <v>5</v>
      </c>
      <c r="F43" s="3">
        <v>80</v>
      </c>
      <c r="G43" s="3">
        <v>1992</v>
      </c>
    </row>
    <row r="44" spans="1:7" s="3" customFormat="1" ht="30.95" customHeight="1">
      <c r="A44" s="24">
        <v>1712338</v>
      </c>
      <c r="B44" s="3" t="s">
        <v>65</v>
      </c>
      <c r="C44" s="3">
        <v>1977</v>
      </c>
      <c r="D44" s="3" t="s">
        <v>180</v>
      </c>
      <c r="E44" s="3" t="s">
        <v>5</v>
      </c>
      <c r="F44" s="3">
        <v>80</v>
      </c>
      <c r="G44" s="3">
        <v>1999</v>
      </c>
    </row>
    <row r="45" spans="1:7" s="3" customFormat="1" ht="30.95" customHeight="1">
      <c r="A45" s="24">
        <v>1712339</v>
      </c>
      <c r="B45" s="3" t="s">
        <v>66</v>
      </c>
      <c r="C45" s="3">
        <v>1983</v>
      </c>
      <c r="D45" s="3" t="s">
        <v>180</v>
      </c>
      <c r="E45" s="3" t="s">
        <v>5</v>
      </c>
      <c r="F45" s="3">
        <v>80</v>
      </c>
      <c r="G45" s="3">
        <v>2005</v>
      </c>
    </row>
    <row r="46" spans="1:7" s="3" customFormat="1" ht="30.95" customHeight="1">
      <c r="A46" s="24">
        <v>1712340</v>
      </c>
      <c r="B46" s="3" t="s">
        <v>67</v>
      </c>
      <c r="C46" s="3">
        <v>1990</v>
      </c>
      <c r="D46" s="3" t="s">
        <v>180</v>
      </c>
      <c r="E46" s="3" t="s">
        <v>5</v>
      </c>
      <c r="F46" s="3">
        <v>80</v>
      </c>
      <c r="G46" s="3">
        <v>2012</v>
      </c>
    </row>
    <row r="47" spans="1:7" s="3" customFormat="1" ht="30.95" customHeight="1">
      <c r="A47" s="24">
        <v>1712341</v>
      </c>
      <c r="B47" s="3" t="s">
        <v>68</v>
      </c>
      <c r="C47" s="3">
        <v>1991</v>
      </c>
      <c r="D47" s="3" t="s">
        <v>180</v>
      </c>
      <c r="E47" s="3" t="s">
        <v>5</v>
      </c>
      <c r="F47" s="3">
        <v>80</v>
      </c>
      <c r="G47" s="3">
        <v>2013</v>
      </c>
    </row>
    <row r="48" spans="1:7" s="3" customFormat="1" ht="30.95" customHeight="1">
      <c r="A48" s="24">
        <v>1712342</v>
      </c>
      <c r="B48" s="3" t="s">
        <v>69</v>
      </c>
      <c r="C48" s="3">
        <v>1992</v>
      </c>
      <c r="D48" s="3" t="s">
        <v>180</v>
      </c>
      <c r="E48" s="3" t="s">
        <v>5</v>
      </c>
      <c r="F48" s="3">
        <v>80</v>
      </c>
      <c r="G48" s="3">
        <v>2014</v>
      </c>
    </row>
    <row r="49" spans="1:7" s="3" customFormat="1" ht="30.95" customHeight="1">
      <c r="A49" s="24">
        <v>1712343</v>
      </c>
      <c r="B49" s="3" t="s">
        <v>70</v>
      </c>
      <c r="C49" s="3">
        <v>1993</v>
      </c>
      <c r="D49" s="3" t="s">
        <v>180</v>
      </c>
      <c r="E49" s="3" t="s">
        <v>5</v>
      </c>
      <c r="F49" s="3">
        <v>80</v>
      </c>
      <c r="G49" s="3">
        <v>2015</v>
      </c>
    </row>
    <row r="50" spans="1:7" s="3" customFormat="1" ht="30.95" customHeight="1">
      <c r="A50" s="24">
        <v>1712344</v>
      </c>
      <c r="B50" s="3" t="s">
        <v>71</v>
      </c>
      <c r="C50" s="3">
        <v>1994</v>
      </c>
      <c r="D50" s="3" t="s">
        <v>180</v>
      </c>
      <c r="E50" s="3" t="s">
        <v>5</v>
      </c>
      <c r="F50" s="3">
        <v>80</v>
      </c>
      <c r="G50" s="3">
        <v>2016</v>
      </c>
    </row>
    <row r="51" spans="1:7" s="3" customFormat="1" ht="30.95" customHeight="1">
      <c r="A51" s="24">
        <v>1712345</v>
      </c>
      <c r="B51" s="3" t="s">
        <v>72</v>
      </c>
      <c r="C51" s="3">
        <v>1995</v>
      </c>
      <c r="D51" s="3" t="s">
        <v>180</v>
      </c>
      <c r="E51" s="3" t="s">
        <v>5</v>
      </c>
      <c r="F51" s="3">
        <v>80</v>
      </c>
      <c r="G51" s="3">
        <v>2017</v>
      </c>
    </row>
    <row r="52" spans="1:7" s="3" customFormat="1" ht="30.95" customHeight="1">
      <c r="A52" s="24">
        <v>1712347</v>
      </c>
      <c r="B52" s="3" t="s">
        <v>73</v>
      </c>
      <c r="C52" s="3">
        <v>1996</v>
      </c>
      <c r="D52" s="3" t="s">
        <v>180</v>
      </c>
      <c r="E52" s="3" t="s">
        <v>5</v>
      </c>
      <c r="F52" s="3">
        <v>80</v>
      </c>
      <c r="G52" s="3">
        <v>2018</v>
      </c>
    </row>
    <row r="53" spans="1:7" s="3" customFormat="1" ht="30.95" customHeight="1">
      <c r="A53" s="24">
        <v>1712349</v>
      </c>
      <c r="B53" s="3" t="s">
        <v>74</v>
      </c>
      <c r="C53" s="3">
        <v>1997</v>
      </c>
      <c r="D53" s="3" t="s">
        <v>180</v>
      </c>
      <c r="E53" s="3" t="s">
        <v>5</v>
      </c>
      <c r="F53" s="3">
        <v>80</v>
      </c>
      <c r="G53" s="3">
        <v>2019</v>
      </c>
    </row>
    <row r="54" spans="1:7" s="3" customFormat="1" ht="30.95" customHeight="1">
      <c r="A54" s="24">
        <v>1712351</v>
      </c>
      <c r="B54" s="3" t="s">
        <v>75</v>
      </c>
      <c r="C54" s="3">
        <v>1988</v>
      </c>
      <c r="D54" s="3" t="s">
        <v>180</v>
      </c>
      <c r="E54" s="3" t="s">
        <v>5</v>
      </c>
      <c r="F54" s="3">
        <v>80</v>
      </c>
      <c r="G54" s="3">
        <v>2010</v>
      </c>
    </row>
    <row r="55" spans="1:7" s="3" customFormat="1" ht="30.95" customHeight="1">
      <c r="A55" s="24">
        <v>1712352</v>
      </c>
      <c r="B55" s="3" t="s">
        <v>76</v>
      </c>
      <c r="C55" s="3">
        <v>1985</v>
      </c>
      <c r="D55" s="3" t="s">
        <v>180</v>
      </c>
      <c r="E55" s="3" t="s">
        <v>5</v>
      </c>
      <c r="F55" s="3">
        <v>80</v>
      </c>
      <c r="G55" s="3">
        <v>2007</v>
      </c>
    </row>
    <row r="56" spans="1:7" s="3" customFormat="1" ht="30.95" customHeight="1">
      <c r="A56" s="24">
        <v>1712412</v>
      </c>
      <c r="B56" s="3" t="s">
        <v>77</v>
      </c>
      <c r="C56" s="3">
        <v>1984</v>
      </c>
      <c r="D56" s="3" t="s">
        <v>181</v>
      </c>
      <c r="E56" s="3" t="s">
        <v>5</v>
      </c>
      <c r="F56" s="3">
        <v>80</v>
      </c>
      <c r="G56" s="3">
        <v>2006</v>
      </c>
    </row>
    <row r="57" spans="1:7" s="3" customFormat="1" ht="30.95" customHeight="1">
      <c r="A57" s="24">
        <v>1712413</v>
      </c>
      <c r="B57" s="3" t="s">
        <v>78</v>
      </c>
      <c r="C57" s="3">
        <v>1985</v>
      </c>
      <c r="D57" s="3" t="s">
        <v>181</v>
      </c>
      <c r="E57" s="3" t="s">
        <v>5</v>
      </c>
      <c r="F57" s="3">
        <v>80</v>
      </c>
      <c r="G57" s="3">
        <v>2007</v>
      </c>
    </row>
    <row r="58" spans="1:7" s="3" customFormat="1" ht="30.95" customHeight="1">
      <c r="A58" s="24">
        <v>1712414</v>
      </c>
      <c r="B58" s="3" t="s">
        <v>79</v>
      </c>
      <c r="C58" s="3">
        <v>1986</v>
      </c>
      <c r="D58" s="3" t="s">
        <v>181</v>
      </c>
      <c r="E58" s="3" t="s">
        <v>5</v>
      </c>
      <c r="F58" s="3">
        <v>80</v>
      </c>
      <c r="G58" s="3">
        <v>2008</v>
      </c>
    </row>
    <row r="59" spans="1:7" s="3" customFormat="1" ht="30.95" customHeight="1">
      <c r="A59" s="24">
        <v>1712415</v>
      </c>
      <c r="B59" s="3" t="s">
        <v>80</v>
      </c>
      <c r="C59" s="3">
        <v>1987</v>
      </c>
      <c r="D59" s="3" t="s">
        <v>181</v>
      </c>
      <c r="E59" s="3" t="s">
        <v>5</v>
      </c>
      <c r="F59" s="3">
        <v>80</v>
      </c>
      <c r="G59" s="3">
        <v>2009</v>
      </c>
    </row>
    <row r="60" spans="1:7" s="3" customFormat="1" ht="30.95" customHeight="1">
      <c r="A60" s="24">
        <v>1712416</v>
      </c>
      <c r="B60" s="3" t="s">
        <v>81</v>
      </c>
      <c r="C60" s="3">
        <v>1988</v>
      </c>
      <c r="D60" s="3" t="s">
        <v>181</v>
      </c>
      <c r="E60" s="3" t="s">
        <v>5</v>
      </c>
      <c r="F60" s="3">
        <v>80</v>
      </c>
      <c r="G60" s="3">
        <v>2010</v>
      </c>
    </row>
    <row r="61" spans="1:7" s="3" customFormat="1" ht="30.95" customHeight="1">
      <c r="A61" s="24">
        <v>1712417</v>
      </c>
      <c r="B61" s="3" t="s">
        <v>82</v>
      </c>
      <c r="C61" s="3">
        <v>1989</v>
      </c>
      <c r="D61" s="3" t="s">
        <v>181</v>
      </c>
      <c r="E61" s="3" t="s">
        <v>5</v>
      </c>
      <c r="F61" s="3">
        <v>80</v>
      </c>
      <c r="G61" s="3">
        <v>2011</v>
      </c>
    </row>
    <row r="62" spans="1:7" s="3" customFormat="1" ht="30.95" customHeight="1">
      <c r="A62" s="24">
        <v>1712418</v>
      </c>
      <c r="B62" s="3" t="s">
        <v>83</v>
      </c>
      <c r="C62" s="3">
        <v>1990</v>
      </c>
      <c r="D62" s="3" t="s">
        <v>181</v>
      </c>
      <c r="E62" s="3" t="s">
        <v>5</v>
      </c>
      <c r="F62" s="3">
        <v>80</v>
      </c>
      <c r="G62" s="3">
        <v>2012</v>
      </c>
    </row>
    <row r="63" spans="1:7" s="3" customFormat="1" ht="30.95" customHeight="1">
      <c r="A63" s="24">
        <v>1712419</v>
      </c>
      <c r="B63" s="3" t="s">
        <v>84</v>
      </c>
      <c r="C63" s="3">
        <v>1991</v>
      </c>
      <c r="D63" s="3" t="s">
        <v>181</v>
      </c>
      <c r="E63" s="3" t="s">
        <v>5</v>
      </c>
      <c r="F63" s="3">
        <v>80</v>
      </c>
      <c r="G63" s="3">
        <v>2013</v>
      </c>
    </row>
    <row r="64" spans="1:7" s="3" customFormat="1" ht="30.95" customHeight="1">
      <c r="A64" s="24">
        <v>1712420</v>
      </c>
      <c r="B64" s="3" t="s">
        <v>85</v>
      </c>
      <c r="C64" s="3">
        <v>1992</v>
      </c>
      <c r="D64" s="3" t="s">
        <v>181</v>
      </c>
      <c r="E64" s="3" t="s">
        <v>5</v>
      </c>
      <c r="F64" s="3">
        <v>80</v>
      </c>
      <c r="G64" s="3">
        <v>2014</v>
      </c>
    </row>
    <row r="65" spans="1:7" s="3" customFormat="1" ht="30.95" customHeight="1">
      <c r="A65" s="24">
        <v>1712422</v>
      </c>
      <c r="B65" s="3" t="s">
        <v>86</v>
      </c>
      <c r="C65" s="3">
        <v>1993</v>
      </c>
      <c r="D65" s="3" t="s">
        <v>181</v>
      </c>
      <c r="E65" s="3" t="s">
        <v>5</v>
      </c>
      <c r="F65" s="3">
        <v>80</v>
      </c>
      <c r="G65" s="3">
        <v>2015</v>
      </c>
    </row>
    <row r="66" spans="1:7" s="3" customFormat="1" ht="30.95" customHeight="1">
      <c r="A66" s="24">
        <v>1712423</v>
      </c>
      <c r="B66" s="3" t="s">
        <v>87</v>
      </c>
      <c r="C66" s="3">
        <v>1994</v>
      </c>
      <c r="D66" s="3" t="s">
        <v>181</v>
      </c>
      <c r="E66" s="3" t="s">
        <v>5</v>
      </c>
      <c r="F66" s="3">
        <v>80</v>
      </c>
      <c r="G66" s="3">
        <v>2016</v>
      </c>
    </row>
    <row r="67" spans="1:7" s="3" customFormat="1" ht="30.95" customHeight="1">
      <c r="A67" s="24">
        <v>1712424</v>
      </c>
      <c r="B67" s="3" t="s">
        <v>88</v>
      </c>
      <c r="C67" s="3">
        <v>1995</v>
      </c>
      <c r="D67" s="3" t="s">
        <v>181</v>
      </c>
      <c r="E67" s="3" t="s">
        <v>5</v>
      </c>
      <c r="F67" s="3">
        <v>80</v>
      </c>
      <c r="G67" s="3">
        <v>2017</v>
      </c>
    </row>
    <row r="68" spans="1:7" s="3" customFormat="1" ht="30.95" customHeight="1">
      <c r="A68" s="24">
        <v>1712425</v>
      </c>
      <c r="B68" s="3" t="s">
        <v>89</v>
      </c>
      <c r="C68" s="3">
        <v>1996</v>
      </c>
      <c r="D68" s="3" t="s">
        <v>181</v>
      </c>
      <c r="E68" s="3" t="s">
        <v>5</v>
      </c>
      <c r="F68" s="3">
        <v>80</v>
      </c>
      <c r="G68" s="3">
        <v>2018</v>
      </c>
    </row>
    <row r="69" spans="1:7" s="3" customFormat="1" ht="30.95" customHeight="1">
      <c r="A69" s="24">
        <v>1712426</v>
      </c>
      <c r="B69" s="3" t="s">
        <v>90</v>
      </c>
      <c r="C69" s="3">
        <v>1997</v>
      </c>
      <c r="D69" s="3" t="s">
        <v>181</v>
      </c>
      <c r="E69" s="3" t="s">
        <v>5</v>
      </c>
      <c r="F69" s="3">
        <v>80</v>
      </c>
      <c r="G69" s="3">
        <v>2019</v>
      </c>
    </row>
    <row r="70" spans="1:7" s="3" customFormat="1" ht="30.95" customHeight="1">
      <c r="A70" s="24">
        <v>1712427</v>
      </c>
      <c r="B70" s="3" t="s">
        <v>91</v>
      </c>
      <c r="C70" s="3">
        <v>1998</v>
      </c>
      <c r="D70" s="3" t="s">
        <v>181</v>
      </c>
      <c r="E70" s="3" t="s">
        <v>5</v>
      </c>
      <c r="F70" s="3">
        <v>80</v>
      </c>
      <c r="G70" s="3">
        <v>2020</v>
      </c>
    </row>
    <row r="71" spans="1:7" s="3" customFormat="1" ht="30.95" customHeight="1">
      <c r="A71" s="24">
        <v>1712428</v>
      </c>
      <c r="B71" s="3" t="s">
        <v>92</v>
      </c>
      <c r="C71" s="3">
        <v>1988</v>
      </c>
      <c r="D71" s="3" t="s">
        <v>181</v>
      </c>
      <c r="E71" s="3" t="s">
        <v>5</v>
      </c>
      <c r="F71" s="3">
        <v>80</v>
      </c>
      <c r="G71" s="3">
        <v>2010</v>
      </c>
    </row>
    <row r="72" spans="1:7" s="3" customFormat="1" ht="30.95" customHeight="1">
      <c r="A72" s="24">
        <v>1712430</v>
      </c>
      <c r="B72" s="3" t="s">
        <v>93</v>
      </c>
      <c r="C72" s="3">
        <v>1988</v>
      </c>
      <c r="D72" s="3" t="s">
        <v>181</v>
      </c>
      <c r="E72" s="3" t="s">
        <v>5</v>
      </c>
      <c r="F72" s="3">
        <v>80</v>
      </c>
      <c r="G72" s="3">
        <v>2010</v>
      </c>
    </row>
    <row r="73" spans="1:7" s="3" customFormat="1" ht="30.95" customHeight="1">
      <c r="A73" s="24">
        <v>1712431</v>
      </c>
      <c r="B73" s="3" t="s">
        <v>94</v>
      </c>
      <c r="C73" s="3">
        <v>1988</v>
      </c>
      <c r="D73" s="3" t="s">
        <v>181</v>
      </c>
      <c r="E73" s="3" t="s">
        <v>5</v>
      </c>
      <c r="F73" s="3">
        <v>80</v>
      </c>
      <c r="G73" s="3">
        <v>2010</v>
      </c>
    </row>
    <row r="74" spans="1:7" s="3" customFormat="1" ht="30.95" customHeight="1">
      <c r="A74" s="24">
        <v>1712432</v>
      </c>
      <c r="B74" s="3" t="s">
        <v>95</v>
      </c>
      <c r="C74" s="3">
        <v>1978</v>
      </c>
      <c r="D74" s="3" t="s">
        <v>181</v>
      </c>
      <c r="E74" s="3" t="s">
        <v>5</v>
      </c>
      <c r="F74" s="3">
        <v>80</v>
      </c>
      <c r="G74" s="3">
        <v>2000</v>
      </c>
    </row>
    <row r="75" spans="1:7" s="3" customFormat="1" ht="30.95" customHeight="1">
      <c r="A75" s="24">
        <v>1712433</v>
      </c>
      <c r="B75" s="3" t="s">
        <v>96</v>
      </c>
      <c r="C75" s="3">
        <v>1978</v>
      </c>
      <c r="D75" s="3" t="s">
        <v>181</v>
      </c>
      <c r="E75" s="3" t="s">
        <v>5</v>
      </c>
      <c r="F75" s="3">
        <v>80</v>
      </c>
      <c r="G75" s="3">
        <v>2000</v>
      </c>
    </row>
    <row r="76" spans="1:7" s="3" customFormat="1" ht="30.95" customHeight="1">
      <c r="A76" s="24">
        <v>1712434</v>
      </c>
      <c r="B76" s="3" t="s">
        <v>97</v>
      </c>
      <c r="C76" s="3">
        <v>1972</v>
      </c>
      <c r="D76" s="3" t="s">
        <v>181</v>
      </c>
      <c r="E76" s="3" t="s">
        <v>5</v>
      </c>
      <c r="F76" s="3">
        <v>80</v>
      </c>
      <c r="G76" s="3">
        <v>1994</v>
      </c>
    </row>
    <row r="77" spans="1:7" s="3" customFormat="1" ht="30.95" customHeight="1">
      <c r="A77" s="24">
        <v>1712435</v>
      </c>
      <c r="B77" s="3" t="s">
        <v>98</v>
      </c>
      <c r="C77" s="3">
        <v>1972</v>
      </c>
      <c r="D77" s="3" t="s">
        <v>181</v>
      </c>
      <c r="E77" s="3" t="s">
        <v>5</v>
      </c>
      <c r="F77" s="3">
        <v>80</v>
      </c>
      <c r="G77" s="3">
        <v>1994</v>
      </c>
    </row>
    <row r="78" spans="1:7" s="3" customFormat="1" ht="30.95" customHeight="1">
      <c r="A78" s="24">
        <v>1712436</v>
      </c>
      <c r="B78" s="3" t="s">
        <v>99</v>
      </c>
      <c r="C78" s="3">
        <v>1972</v>
      </c>
      <c r="D78" s="3" t="s">
        <v>181</v>
      </c>
      <c r="E78" s="3" t="s">
        <v>5</v>
      </c>
      <c r="F78" s="3">
        <v>80</v>
      </c>
      <c r="G78" s="3">
        <v>1994</v>
      </c>
    </row>
    <row r="79" spans="1:7" s="3" customFormat="1" ht="30.95" customHeight="1">
      <c r="A79" s="24">
        <v>1712353</v>
      </c>
      <c r="B79" s="7" t="s">
        <v>100</v>
      </c>
      <c r="C79" s="3">
        <v>1973</v>
      </c>
      <c r="D79" s="7" t="s">
        <v>180</v>
      </c>
      <c r="E79" s="3" t="s">
        <v>5</v>
      </c>
      <c r="F79" s="3">
        <v>80</v>
      </c>
      <c r="G79" s="3">
        <v>1995</v>
      </c>
    </row>
    <row r="80" spans="1:7" s="3" customFormat="1" ht="30.95" customHeight="1">
      <c r="A80" s="24">
        <v>1712354</v>
      </c>
      <c r="B80" s="7" t="s">
        <v>101</v>
      </c>
      <c r="C80" s="3">
        <v>1974</v>
      </c>
      <c r="D80" s="7" t="s">
        <v>180</v>
      </c>
      <c r="E80" s="3" t="s">
        <v>5</v>
      </c>
      <c r="F80" s="3">
        <v>80</v>
      </c>
      <c r="G80" s="3">
        <v>1996</v>
      </c>
    </row>
    <row r="81" spans="1:7" s="3" customFormat="1" ht="30.95" customHeight="1">
      <c r="A81" s="24">
        <v>1712355</v>
      </c>
      <c r="B81" s="7" t="s">
        <v>102</v>
      </c>
      <c r="C81" s="3">
        <v>1975</v>
      </c>
      <c r="D81" s="7" t="s">
        <v>180</v>
      </c>
      <c r="E81" s="3" t="s">
        <v>5</v>
      </c>
      <c r="F81" s="3">
        <v>80</v>
      </c>
      <c r="G81" s="3">
        <v>1997</v>
      </c>
    </row>
    <row r="82" spans="1:7" s="3" customFormat="1" ht="30.95" customHeight="1">
      <c r="A82" s="24">
        <v>1712356</v>
      </c>
      <c r="B82" s="7" t="s">
        <v>103</v>
      </c>
      <c r="C82" s="3">
        <v>1976</v>
      </c>
      <c r="D82" s="7" t="s">
        <v>180</v>
      </c>
      <c r="E82" s="3" t="s">
        <v>5</v>
      </c>
      <c r="F82" s="3">
        <v>80</v>
      </c>
      <c r="G82" s="3">
        <v>1998</v>
      </c>
    </row>
    <row r="83" spans="1:7" s="3" customFormat="1" ht="30.95" customHeight="1">
      <c r="A83" s="24">
        <v>1712357</v>
      </c>
      <c r="B83" s="7" t="s">
        <v>104</v>
      </c>
      <c r="C83" s="3">
        <v>1977</v>
      </c>
      <c r="D83" s="7" t="s">
        <v>180</v>
      </c>
      <c r="E83" s="3" t="s">
        <v>5</v>
      </c>
      <c r="F83" s="3">
        <v>80</v>
      </c>
      <c r="G83" s="3">
        <v>1999</v>
      </c>
    </row>
    <row r="84" spans="1:7" s="3" customFormat="1" ht="30.95" customHeight="1">
      <c r="A84" s="24">
        <v>1712358</v>
      </c>
      <c r="B84" s="7" t="s">
        <v>105</v>
      </c>
      <c r="C84" s="3">
        <v>1978</v>
      </c>
      <c r="D84" s="7" t="s">
        <v>180</v>
      </c>
      <c r="E84" s="3" t="s">
        <v>6</v>
      </c>
      <c r="F84" s="3">
        <v>80</v>
      </c>
      <c r="G84" s="3">
        <v>2000</v>
      </c>
    </row>
    <row r="85" spans="1:7" s="3" customFormat="1" ht="30.95" customHeight="1">
      <c r="A85" s="24">
        <v>1712359</v>
      </c>
      <c r="B85" s="7" t="s">
        <v>106</v>
      </c>
      <c r="C85" s="3">
        <v>1979</v>
      </c>
      <c r="D85" s="7" t="s">
        <v>180</v>
      </c>
      <c r="E85" s="3" t="s">
        <v>6</v>
      </c>
      <c r="F85" s="3">
        <v>80</v>
      </c>
      <c r="G85" s="3">
        <v>2001</v>
      </c>
    </row>
    <row r="86" spans="1:7" s="3" customFormat="1" ht="30.95" customHeight="1">
      <c r="A86" s="24">
        <v>1712360</v>
      </c>
      <c r="B86" s="7" t="s">
        <v>107</v>
      </c>
      <c r="C86" s="3">
        <v>1980</v>
      </c>
      <c r="D86" s="7" t="s">
        <v>180</v>
      </c>
      <c r="E86" s="3" t="s">
        <v>6</v>
      </c>
      <c r="F86" s="3">
        <v>80</v>
      </c>
      <c r="G86" s="3">
        <v>2002</v>
      </c>
    </row>
    <row r="87" spans="1:7" s="3" customFormat="1" ht="30.95" customHeight="1">
      <c r="A87" s="24">
        <v>1712361</v>
      </c>
      <c r="B87" s="7" t="s">
        <v>108</v>
      </c>
      <c r="C87" s="3">
        <v>1981</v>
      </c>
      <c r="D87" s="7" t="s">
        <v>180</v>
      </c>
      <c r="E87" s="3" t="s">
        <v>6</v>
      </c>
      <c r="F87" s="3">
        <v>80</v>
      </c>
      <c r="G87" s="3">
        <v>2003</v>
      </c>
    </row>
    <row r="88" spans="1:7" s="3" customFormat="1" ht="30.95" customHeight="1">
      <c r="A88" s="24">
        <v>1712362</v>
      </c>
      <c r="B88" s="7" t="s">
        <v>109</v>
      </c>
      <c r="C88" s="3">
        <v>1978</v>
      </c>
      <c r="D88" s="7" t="s">
        <v>180</v>
      </c>
      <c r="E88" s="3" t="s">
        <v>6</v>
      </c>
      <c r="F88" s="3">
        <v>80</v>
      </c>
      <c r="G88" s="3">
        <v>2000</v>
      </c>
    </row>
    <row r="89" spans="1:7" s="3" customFormat="1" ht="30.95" customHeight="1">
      <c r="A89" s="24">
        <v>1712363</v>
      </c>
      <c r="B89" s="7" t="s">
        <v>110</v>
      </c>
      <c r="C89" s="3">
        <v>1979</v>
      </c>
      <c r="D89" s="7" t="s">
        <v>180</v>
      </c>
      <c r="E89" s="3" t="s">
        <v>6</v>
      </c>
      <c r="F89" s="3">
        <v>80</v>
      </c>
      <c r="G89" s="3">
        <v>2001</v>
      </c>
    </row>
    <row r="90" spans="1:7" s="3" customFormat="1" ht="30.95" customHeight="1">
      <c r="A90" s="24">
        <v>1712364</v>
      </c>
      <c r="B90" s="7" t="s">
        <v>111</v>
      </c>
      <c r="C90" s="3">
        <v>1980</v>
      </c>
      <c r="D90" s="7" t="s">
        <v>180</v>
      </c>
      <c r="E90" s="3" t="s">
        <v>6</v>
      </c>
      <c r="F90" s="3">
        <v>80</v>
      </c>
      <c r="G90" s="3">
        <v>2002</v>
      </c>
    </row>
    <row r="91" spans="1:7" s="3" customFormat="1" ht="30.95" customHeight="1">
      <c r="A91" s="24">
        <v>1712365</v>
      </c>
      <c r="B91" s="7" t="s">
        <v>112</v>
      </c>
      <c r="C91" s="3">
        <v>1981</v>
      </c>
      <c r="D91" s="7" t="s">
        <v>180</v>
      </c>
      <c r="E91" s="3" t="s">
        <v>6</v>
      </c>
      <c r="F91" s="3">
        <v>80</v>
      </c>
      <c r="G91" s="3">
        <v>2003</v>
      </c>
    </row>
    <row r="92" spans="1:7" s="3" customFormat="1" ht="30.95" customHeight="1">
      <c r="A92" s="24">
        <v>1712366</v>
      </c>
      <c r="B92" s="7" t="s">
        <v>113</v>
      </c>
      <c r="C92" s="3">
        <v>1982</v>
      </c>
      <c r="D92" s="7" t="s">
        <v>180</v>
      </c>
      <c r="E92" s="3" t="s">
        <v>6</v>
      </c>
      <c r="F92" s="3">
        <v>80</v>
      </c>
      <c r="G92" s="3">
        <v>2004</v>
      </c>
    </row>
    <row r="93" spans="1:7" s="3" customFormat="1" ht="30.95" customHeight="1">
      <c r="A93" s="24">
        <v>1712367</v>
      </c>
      <c r="B93" s="7" t="s">
        <v>114</v>
      </c>
      <c r="C93" s="3">
        <v>1980</v>
      </c>
      <c r="D93" s="7" t="s">
        <v>180</v>
      </c>
      <c r="E93" s="3" t="s">
        <v>6</v>
      </c>
      <c r="F93" s="3">
        <v>80</v>
      </c>
      <c r="G93" s="3">
        <v>2002</v>
      </c>
    </row>
    <row r="94" spans="1:7" s="3" customFormat="1" ht="30.95" customHeight="1">
      <c r="A94" s="24">
        <v>1712368</v>
      </c>
      <c r="B94" s="7" t="s">
        <v>115</v>
      </c>
      <c r="C94" s="3">
        <v>1980</v>
      </c>
      <c r="D94" s="7" t="s">
        <v>180</v>
      </c>
      <c r="E94" s="3" t="s">
        <v>6</v>
      </c>
      <c r="F94" s="3">
        <v>80</v>
      </c>
      <c r="G94" s="3">
        <v>2002</v>
      </c>
    </row>
    <row r="95" spans="1:7" s="3" customFormat="1" ht="30.95" customHeight="1">
      <c r="A95" s="24">
        <v>1712369</v>
      </c>
      <c r="B95" s="7" t="s">
        <v>116</v>
      </c>
      <c r="C95" s="3">
        <v>1982</v>
      </c>
      <c r="D95" s="7" t="s">
        <v>180</v>
      </c>
      <c r="E95" s="3" t="s">
        <v>6</v>
      </c>
      <c r="F95" s="3">
        <v>80</v>
      </c>
      <c r="G95" s="3">
        <v>2004</v>
      </c>
    </row>
    <row r="96" spans="1:7" s="3" customFormat="1" ht="30.95" customHeight="1">
      <c r="A96" s="24">
        <v>1712437</v>
      </c>
      <c r="B96" s="7" t="s">
        <v>117</v>
      </c>
      <c r="C96" s="3">
        <v>1983</v>
      </c>
      <c r="D96" s="7" t="s">
        <v>181</v>
      </c>
      <c r="E96" s="3" t="s">
        <v>6</v>
      </c>
      <c r="F96" s="3">
        <v>80</v>
      </c>
      <c r="G96" s="3">
        <v>2005</v>
      </c>
    </row>
    <row r="97" spans="1:7" s="3" customFormat="1" ht="30.95" customHeight="1">
      <c r="A97" s="24">
        <v>1712438</v>
      </c>
      <c r="B97" s="7" t="s">
        <v>118</v>
      </c>
      <c r="C97" s="3">
        <v>1984</v>
      </c>
      <c r="D97" s="3" t="s">
        <v>181</v>
      </c>
      <c r="E97" s="3" t="s">
        <v>6</v>
      </c>
      <c r="F97" s="3">
        <v>80</v>
      </c>
      <c r="G97" s="3">
        <v>2006</v>
      </c>
    </row>
    <row r="98" spans="1:7" s="3" customFormat="1" ht="30.95" customHeight="1">
      <c r="A98" s="24">
        <v>1712439</v>
      </c>
      <c r="B98" s="7" t="s">
        <v>119</v>
      </c>
      <c r="C98" s="3">
        <v>1985</v>
      </c>
      <c r="D98" s="3" t="s">
        <v>181</v>
      </c>
      <c r="E98" s="3" t="s">
        <v>6</v>
      </c>
      <c r="F98" s="3">
        <v>80</v>
      </c>
      <c r="G98" s="3">
        <v>2007</v>
      </c>
    </row>
    <row r="99" spans="1:7" s="3" customFormat="1" ht="30.95" customHeight="1">
      <c r="A99" s="24">
        <v>1712440</v>
      </c>
      <c r="B99" s="7" t="s">
        <v>120</v>
      </c>
      <c r="C99" s="3">
        <v>1986</v>
      </c>
      <c r="D99" s="3" t="s">
        <v>181</v>
      </c>
      <c r="E99" s="3" t="s">
        <v>6</v>
      </c>
      <c r="F99" s="3">
        <v>80</v>
      </c>
      <c r="G99" s="3">
        <v>2008</v>
      </c>
    </row>
    <row r="100" spans="1:7" s="3" customFormat="1" ht="30.95" customHeight="1">
      <c r="A100" s="24">
        <v>1712441</v>
      </c>
      <c r="B100" s="7" t="s">
        <v>121</v>
      </c>
      <c r="C100" s="3">
        <v>1987</v>
      </c>
      <c r="D100" s="3" t="s">
        <v>181</v>
      </c>
      <c r="E100" s="3" t="s">
        <v>6</v>
      </c>
      <c r="F100" s="3">
        <v>80</v>
      </c>
      <c r="G100" s="3">
        <v>2009</v>
      </c>
    </row>
    <row r="101" spans="1:7" s="3" customFormat="1" ht="30.95" customHeight="1">
      <c r="A101" s="24">
        <v>1712442</v>
      </c>
      <c r="B101" s="7" t="s">
        <v>122</v>
      </c>
      <c r="C101" s="3">
        <v>1988</v>
      </c>
      <c r="D101" s="3" t="s">
        <v>181</v>
      </c>
      <c r="E101" s="3" t="s">
        <v>6</v>
      </c>
      <c r="F101" s="3">
        <v>80</v>
      </c>
      <c r="G101" s="3">
        <v>2010</v>
      </c>
    </row>
    <row r="102" spans="1:7" s="3" customFormat="1" ht="30.95" customHeight="1">
      <c r="A102" s="24">
        <v>1712443</v>
      </c>
      <c r="B102" s="7" t="s">
        <v>123</v>
      </c>
      <c r="C102" s="3">
        <v>1988</v>
      </c>
      <c r="D102" s="3" t="s">
        <v>181</v>
      </c>
      <c r="E102" s="3" t="s">
        <v>6</v>
      </c>
      <c r="F102" s="3">
        <v>80</v>
      </c>
      <c r="G102" s="3">
        <v>2010</v>
      </c>
    </row>
    <row r="103" spans="1:7" s="3" customFormat="1" ht="30.95" customHeight="1">
      <c r="A103" s="24">
        <v>1712444</v>
      </c>
      <c r="B103" s="7" t="s">
        <v>124</v>
      </c>
      <c r="C103" s="3">
        <v>1968</v>
      </c>
      <c r="D103" s="3" t="s">
        <v>181</v>
      </c>
      <c r="E103" s="3" t="s">
        <v>6</v>
      </c>
      <c r="F103" s="3">
        <v>80</v>
      </c>
      <c r="G103" s="3">
        <v>1990</v>
      </c>
    </row>
    <row r="104" spans="1:7" s="3" customFormat="1" ht="30.95" customHeight="1">
      <c r="A104" s="24">
        <v>1712445</v>
      </c>
      <c r="B104" s="7" t="s">
        <v>125</v>
      </c>
      <c r="C104" s="3">
        <v>1988</v>
      </c>
      <c r="D104" s="3" t="s">
        <v>181</v>
      </c>
      <c r="E104" s="3" t="s">
        <v>6</v>
      </c>
      <c r="F104" s="3">
        <v>80</v>
      </c>
      <c r="G104" s="3">
        <v>2010</v>
      </c>
    </row>
    <row r="105" spans="1:7" s="3" customFormat="1" ht="30.95" customHeight="1">
      <c r="A105" s="24">
        <v>1712446</v>
      </c>
      <c r="B105" s="7" t="s">
        <v>126</v>
      </c>
      <c r="C105" s="3">
        <v>1989</v>
      </c>
      <c r="D105" s="3" t="s">
        <v>181</v>
      </c>
      <c r="E105" s="3" t="s">
        <v>6</v>
      </c>
      <c r="F105" s="3">
        <v>80</v>
      </c>
      <c r="G105" s="3">
        <v>2011</v>
      </c>
    </row>
    <row r="106" spans="1:7" s="3" customFormat="1" ht="30.95" customHeight="1">
      <c r="A106" s="24">
        <v>1712447</v>
      </c>
      <c r="B106" s="7" t="s">
        <v>127</v>
      </c>
      <c r="C106" s="3">
        <v>1980</v>
      </c>
      <c r="D106" s="3" t="s">
        <v>181</v>
      </c>
      <c r="E106" s="3" t="s">
        <v>6</v>
      </c>
      <c r="F106" s="3">
        <v>80</v>
      </c>
      <c r="G106" s="3">
        <v>2002</v>
      </c>
    </row>
    <row r="107" spans="1:7" s="3" customFormat="1" ht="30.95" customHeight="1">
      <c r="A107" s="24">
        <v>1712448</v>
      </c>
      <c r="B107" s="7" t="s">
        <v>128</v>
      </c>
      <c r="C107" s="3">
        <v>1981</v>
      </c>
      <c r="D107" s="3" t="s">
        <v>181</v>
      </c>
      <c r="E107" s="3" t="s">
        <v>6</v>
      </c>
      <c r="F107" s="3">
        <v>80</v>
      </c>
      <c r="G107" s="3">
        <v>2003</v>
      </c>
    </row>
    <row r="108" spans="1:7" s="3" customFormat="1" ht="30.95" customHeight="1">
      <c r="A108" s="24">
        <v>1712449</v>
      </c>
      <c r="B108" s="7" t="s">
        <v>129</v>
      </c>
      <c r="C108" s="3">
        <v>1982</v>
      </c>
      <c r="D108" s="3" t="s">
        <v>181</v>
      </c>
      <c r="E108" s="3" t="s">
        <v>6</v>
      </c>
      <c r="F108" s="3">
        <v>80</v>
      </c>
      <c r="G108" s="3">
        <v>2004</v>
      </c>
    </row>
    <row r="109" spans="1:7" s="3" customFormat="1" ht="30.95" customHeight="1">
      <c r="A109" s="24">
        <v>1712450</v>
      </c>
      <c r="B109" s="7" t="s">
        <v>130</v>
      </c>
      <c r="C109" s="3">
        <v>1983</v>
      </c>
      <c r="D109" s="3" t="s">
        <v>181</v>
      </c>
      <c r="E109" s="3" t="s">
        <v>6</v>
      </c>
      <c r="F109" s="3">
        <v>80</v>
      </c>
      <c r="G109" s="3">
        <v>2005</v>
      </c>
    </row>
    <row r="110" spans="1:7" s="3" customFormat="1" ht="30.95" customHeight="1">
      <c r="A110" s="24">
        <v>1712451</v>
      </c>
      <c r="B110" s="7" t="s">
        <v>131</v>
      </c>
      <c r="C110" s="3">
        <v>1984</v>
      </c>
      <c r="D110" s="3" t="s">
        <v>181</v>
      </c>
      <c r="E110" s="3" t="s">
        <v>6</v>
      </c>
      <c r="F110" s="3">
        <v>80</v>
      </c>
      <c r="G110" s="3">
        <v>2006</v>
      </c>
    </row>
    <row r="111" spans="1:7" s="3" customFormat="1" ht="30.95" customHeight="1">
      <c r="A111" s="24">
        <v>1712452</v>
      </c>
      <c r="B111" s="7" t="s">
        <v>132</v>
      </c>
      <c r="C111" s="3">
        <v>1985</v>
      </c>
      <c r="D111" s="3" t="s">
        <v>181</v>
      </c>
      <c r="E111" s="3" t="s">
        <v>6</v>
      </c>
      <c r="F111" s="3">
        <v>80</v>
      </c>
      <c r="G111" s="3">
        <v>2007</v>
      </c>
    </row>
    <row r="112" spans="1:7" s="3" customFormat="1" ht="30.95" customHeight="1">
      <c r="A112" s="24">
        <v>1712453</v>
      </c>
      <c r="B112" s="7" t="s">
        <v>133</v>
      </c>
      <c r="C112" s="3">
        <v>1986</v>
      </c>
      <c r="D112" s="3" t="s">
        <v>181</v>
      </c>
      <c r="E112" s="3" t="s">
        <v>6</v>
      </c>
      <c r="F112" s="3">
        <v>80</v>
      </c>
      <c r="G112" s="3">
        <v>2008</v>
      </c>
    </row>
    <row r="113" spans="1:7" s="3" customFormat="1" ht="30.95" customHeight="1">
      <c r="A113" s="24">
        <v>1712454</v>
      </c>
      <c r="B113" s="7" t="s">
        <v>134</v>
      </c>
      <c r="C113" s="3">
        <v>1987</v>
      </c>
      <c r="D113" s="3" t="s">
        <v>181</v>
      </c>
      <c r="E113" s="3" t="s">
        <v>6</v>
      </c>
      <c r="F113" s="3">
        <v>80</v>
      </c>
      <c r="G113" s="3">
        <v>2009</v>
      </c>
    </row>
    <row r="114" spans="1:7" s="3" customFormat="1" ht="30.95" customHeight="1">
      <c r="A114" s="24">
        <v>1712455</v>
      </c>
      <c r="B114" s="7" t="s">
        <v>135</v>
      </c>
      <c r="C114" s="3">
        <v>1987</v>
      </c>
      <c r="D114" s="3" t="s">
        <v>181</v>
      </c>
      <c r="E114" s="3" t="s">
        <v>6</v>
      </c>
      <c r="F114" s="3">
        <v>80</v>
      </c>
      <c r="G114" s="3">
        <v>2009</v>
      </c>
    </row>
    <row r="115" spans="1:7" s="3" customFormat="1" ht="30.95" customHeight="1">
      <c r="A115" s="24">
        <v>1712456</v>
      </c>
      <c r="B115" s="7" t="s">
        <v>136</v>
      </c>
      <c r="C115" s="3">
        <v>1988</v>
      </c>
      <c r="D115" s="3" t="s">
        <v>181</v>
      </c>
      <c r="E115" s="3" t="s">
        <v>6</v>
      </c>
      <c r="F115" s="3">
        <v>80</v>
      </c>
      <c r="G115" s="3">
        <v>2010</v>
      </c>
    </row>
    <row r="116" spans="1:7" s="3" customFormat="1" ht="30.95" customHeight="1">
      <c r="A116" s="24">
        <v>1712457</v>
      </c>
      <c r="B116" s="7" t="s">
        <v>137</v>
      </c>
      <c r="C116" s="3">
        <v>1986</v>
      </c>
      <c r="D116" s="3" t="s">
        <v>181</v>
      </c>
      <c r="E116" s="3" t="s">
        <v>6</v>
      </c>
      <c r="F116" s="3">
        <v>80</v>
      </c>
      <c r="G116" s="3">
        <v>2008</v>
      </c>
    </row>
    <row r="117" spans="1:7" s="3" customFormat="1" ht="30.95" customHeight="1">
      <c r="A117" s="24">
        <v>1712458</v>
      </c>
      <c r="B117" s="7" t="s">
        <v>138</v>
      </c>
      <c r="C117" s="3">
        <v>1982</v>
      </c>
      <c r="D117" s="3" t="s">
        <v>181</v>
      </c>
      <c r="E117" s="3" t="s">
        <v>6</v>
      </c>
      <c r="F117" s="3">
        <v>80</v>
      </c>
      <c r="G117" s="3">
        <v>2004</v>
      </c>
    </row>
    <row r="118" spans="1:7" s="3" customFormat="1" ht="30.95" customHeight="1">
      <c r="A118" s="24">
        <v>1712459</v>
      </c>
      <c r="B118" s="7" t="s">
        <v>139</v>
      </c>
      <c r="C118" s="3">
        <v>1982</v>
      </c>
      <c r="D118" s="3" t="s">
        <v>181</v>
      </c>
      <c r="E118" s="3" t="s">
        <v>6</v>
      </c>
      <c r="F118" s="3">
        <v>80</v>
      </c>
      <c r="G118" s="3">
        <v>2004</v>
      </c>
    </row>
    <row r="119" spans="1:7" s="3" customFormat="1" ht="30.95" customHeight="1">
      <c r="A119" s="24">
        <v>1712460</v>
      </c>
      <c r="B119" s="7" t="s">
        <v>140</v>
      </c>
      <c r="C119" s="3">
        <v>1984</v>
      </c>
      <c r="D119" s="3" t="s">
        <v>181</v>
      </c>
      <c r="E119" s="3" t="s">
        <v>6</v>
      </c>
      <c r="F119" s="3">
        <v>80</v>
      </c>
      <c r="G119" s="3">
        <v>2006</v>
      </c>
    </row>
    <row r="120" spans="1:7" s="3" customFormat="1" ht="30.95" customHeight="1">
      <c r="A120" s="24">
        <v>1712461</v>
      </c>
      <c r="B120" s="7" t="s">
        <v>141</v>
      </c>
      <c r="C120" s="3">
        <v>1973</v>
      </c>
      <c r="D120" s="3" t="s">
        <v>181</v>
      </c>
      <c r="E120" s="3" t="s">
        <v>7</v>
      </c>
      <c r="F120" s="3">
        <v>80</v>
      </c>
      <c r="G120" s="3">
        <v>1995</v>
      </c>
    </row>
    <row r="121" spans="1:7" s="3" customFormat="1" ht="30.95" customHeight="1">
      <c r="A121" s="24">
        <v>1712370</v>
      </c>
      <c r="B121" s="3" t="s">
        <v>142</v>
      </c>
      <c r="C121" s="3">
        <v>1974</v>
      </c>
      <c r="D121" s="3" t="s">
        <v>180</v>
      </c>
      <c r="E121" s="3" t="s">
        <v>7</v>
      </c>
      <c r="F121" s="3">
        <v>80</v>
      </c>
      <c r="G121" s="3">
        <v>1996</v>
      </c>
    </row>
    <row r="122" spans="1:7" s="3" customFormat="1" ht="30.95" customHeight="1">
      <c r="A122" s="24">
        <v>1712371</v>
      </c>
      <c r="B122" s="3" t="s">
        <v>143</v>
      </c>
      <c r="C122" s="3">
        <v>1975</v>
      </c>
      <c r="D122" s="3" t="s">
        <v>180</v>
      </c>
      <c r="E122" s="3" t="s">
        <v>7</v>
      </c>
      <c r="F122" s="3">
        <v>80</v>
      </c>
      <c r="G122" s="3">
        <v>1997</v>
      </c>
    </row>
    <row r="123" spans="1:7" s="3" customFormat="1" ht="30.95" customHeight="1">
      <c r="A123" s="24">
        <v>1712372</v>
      </c>
      <c r="B123" s="3" t="s">
        <v>144</v>
      </c>
      <c r="C123" s="3">
        <v>1976</v>
      </c>
      <c r="D123" s="3" t="s">
        <v>180</v>
      </c>
      <c r="E123" s="3" t="s">
        <v>7</v>
      </c>
      <c r="F123" s="3">
        <v>80</v>
      </c>
      <c r="G123" s="3">
        <v>1998</v>
      </c>
    </row>
    <row r="124" spans="1:7" s="3" customFormat="1" ht="30.95" customHeight="1">
      <c r="A124" s="24">
        <v>1712373</v>
      </c>
      <c r="B124" s="3" t="s">
        <v>145</v>
      </c>
      <c r="C124" s="3">
        <v>1977</v>
      </c>
      <c r="D124" s="3" t="s">
        <v>180</v>
      </c>
      <c r="E124" s="3" t="s">
        <v>7</v>
      </c>
      <c r="F124" s="3">
        <v>80</v>
      </c>
      <c r="G124" s="3">
        <v>1999</v>
      </c>
    </row>
    <row r="125" spans="1:7" s="3" customFormat="1" ht="30.95" customHeight="1">
      <c r="A125" s="24">
        <v>1712374</v>
      </c>
      <c r="B125" s="8" t="s">
        <v>146</v>
      </c>
      <c r="C125" s="3">
        <v>1978</v>
      </c>
      <c r="D125" s="3" t="s">
        <v>180</v>
      </c>
      <c r="E125" s="3" t="s">
        <v>7</v>
      </c>
      <c r="F125" s="3">
        <v>80</v>
      </c>
      <c r="G125" s="3">
        <v>2000</v>
      </c>
    </row>
    <row r="126" spans="1:7" s="3" customFormat="1" ht="30.95" customHeight="1">
      <c r="A126" s="24">
        <v>1712375</v>
      </c>
      <c r="B126" s="3" t="s">
        <v>147</v>
      </c>
      <c r="C126" s="3">
        <v>1996</v>
      </c>
      <c r="D126" s="3" t="s">
        <v>180</v>
      </c>
      <c r="E126" s="3" t="s">
        <v>7</v>
      </c>
      <c r="F126" s="3">
        <v>80</v>
      </c>
      <c r="G126" s="3">
        <v>2018</v>
      </c>
    </row>
    <row r="127" spans="1:7" s="3" customFormat="1" ht="30.95" customHeight="1">
      <c r="A127" s="24">
        <v>1712378</v>
      </c>
      <c r="B127" s="3" t="s">
        <v>148</v>
      </c>
      <c r="C127" s="3">
        <v>1992</v>
      </c>
      <c r="D127" s="3" t="s">
        <v>180</v>
      </c>
      <c r="E127" s="3" t="s">
        <v>7</v>
      </c>
      <c r="F127" s="3">
        <v>80</v>
      </c>
      <c r="G127" s="3">
        <v>2014</v>
      </c>
    </row>
    <row r="128" spans="1:7" s="3" customFormat="1" ht="30.95" customHeight="1">
      <c r="A128" s="24">
        <v>1712379</v>
      </c>
      <c r="B128" s="3" t="s">
        <v>149</v>
      </c>
      <c r="C128" s="3">
        <v>1992</v>
      </c>
      <c r="D128" s="3" t="s">
        <v>180</v>
      </c>
      <c r="E128" s="3" t="s">
        <v>7</v>
      </c>
      <c r="F128" s="3">
        <v>80</v>
      </c>
      <c r="G128" s="3">
        <v>2014</v>
      </c>
    </row>
    <row r="129" spans="1:7" s="3" customFormat="1" ht="30.95" customHeight="1">
      <c r="A129" s="24">
        <v>1712380</v>
      </c>
      <c r="B129" s="3" t="s">
        <v>150</v>
      </c>
      <c r="C129" s="3">
        <v>1981</v>
      </c>
      <c r="D129" s="3" t="s">
        <v>180</v>
      </c>
      <c r="E129" s="3" t="s">
        <v>7</v>
      </c>
      <c r="F129" s="3">
        <v>80</v>
      </c>
      <c r="G129" s="3">
        <v>2003</v>
      </c>
    </row>
    <row r="130" spans="1:7" s="3" customFormat="1" ht="30.95" customHeight="1">
      <c r="A130" s="24">
        <v>1712381</v>
      </c>
      <c r="B130" s="3" t="s">
        <v>151</v>
      </c>
      <c r="C130" s="3">
        <v>1982</v>
      </c>
      <c r="D130" s="3" t="s">
        <v>180</v>
      </c>
      <c r="E130" s="3" t="s">
        <v>7</v>
      </c>
      <c r="F130" s="3">
        <v>80</v>
      </c>
      <c r="G130" s="3">
        <v>2004</v>
      </c>
    </row>
    <row r="131" spans="1:7" s="3" customFormat="1" ht="30.95" customHeight="1">
      <c r="A131" s="24">
        <v>1712382</v>
      </c>
      <c r="B131" s="3" t="s">
        <v>152</v>
      </c>
      <c r="C131" s="3">
        <v>1983</v>
      </c>
      <c r="D131" s="3" t="s">
        <v>180</v>
      </c>
      <c r="E131" s="3" t="s">
        <v>7</v>
      </c>
      <c r="F131" s="3">
        <v>80</v>
      </c>
      <c r="G131" s="3">
        <v>2005</v>
      </c>
    </row>
    <row r="132" spans="1:7" s="3" customFormat="1" ht="30.95" customHeight="1">
      <c r="A132" s="24">
        <v>1712383</v>
      </c>
      <c r="B132" s="3" t="s">
        <v>153</v>
      </c>
      <c r="C132" s="3">
        <v>1984</v>
      </c>
      <c r="D132" s="3" t="s">
        <v>180</v>
      </c>
      <c r="E132" s="3" t="s">
        <v>7</v>
      </c>
      <c r="F132" s="3">
        <v>80</v>
      </c>
      <c r="G132" s="3">
        <v>2006</v>
      </c>
    </row>
    <row r="133" spans="1:7" s="3" customFormat="1" ht="30.95" customHeight="1">
      <c r="A133" s="24">
        <v>1712384</v>
      </c>
      <c r="B133" s="3" t="s">
        <v>154</v>
      </c>
      <c r="C133" s="3">
        <v>1976</v>
      </c>
      <c r="D133" s="3" t="s">
        <v>180</v>
      </c>
      <c r="E133" s="3" t="s">
        <v>7</v>
      </c>
      <c r="F133" s="3">
        <v>80</v>
      </c>
      <c r="G133" s="3">
        <v>1998</v>
      </c>
    </row>
    <row r="134" spans="1:7" s="3" customFormat="1" ht="30.95" customHeight="1">
      <c r="A134" s="24">
        <v>1712385</v>
      </c>
      <c r="B134" s="3" t="s">
        <v>155</v>
      </c>
      <c r="C134" s="3">
        <v>1996</v>
      </c>
      <c r="D134" s="3" t="s">
        <v>180</v>
      </c>
      <c r="E134" s="3" t="s">
        <v>7</v>
      </c>
      <c r="F134" s="3">
        <v>80</v>
      </c>
      <c r="G134" s="3">
        <v>2018</v>
      </c>
    </row>
    <row r="135" spans="1:7" s="3" customFormat="1" ht="30.95" customHeight="1">
      <c r="A135" s="24">
        <v>1712386</v>
      </c>
      <c r="B135" s="3" t="s">
        <v>156</v>
      </c>
      <c r="C135" s="3">
        <v>1968</v>
      </c>
      <c r="D135" s="3" t="s">
        <v>180</v>
      </c>
      <c r="E135" s="3" t="s">
        <v>8</v>
      </c>
      <c r="F135" s="3">
        <v>80</v>
      </c>
      <c r="G135" s="3">
        <v>1990</v>
      </c>
    </row>
    <row r="136" spans="1:7" s="3" customFormat="1" ht="30.95" customHeight="1">
      <c r="A136" s="24">
        <v>1712462</v>
      </c>
      <c r="B136" s="3" t="s">
        <v>157</v>
      </c>
      <c r="C136" s="3">
        <v>1969</v>
      </c>
      <c r="D136" s="3" t="s">
        <v>181</v>
      </c>
      <c r="E136" s="3" t="s">
        <v>8</v>
      </c>
      <c r="F136" s="3">
        <v>80</v>
      </c>
      <c r="G136" s="3">
        <v>1991</v>
      </c>
    </row>
    <row r="137" spans="1:7" s="3" customFormat="1" ht="30.95" customHeight="1">
      <c r="A137" s="24">
        <v>1712463</v>
      </c>
      <c r="B137" s="3" t="s">
        <v>158</v>
      </c>
      <c r="C137" s="3">
        <v>1970</v>
      </c>
      <c r="D137" s="3" t="s">
        <v>181</v>
      </c>
      <c r="E137" s="3" t="s">
        <v>8</v>
      </c>
      <c r="F137" s="3">
        <v>80</v>
      </c>
      <c r="G137" s="3">
        <v>1992</v>
      </c>
    </row>
    <row r="138" spans="1:7" s="3" customFormat="1" ht="30.95" customHeight="1">
      <c r="A138" s="24">
        <v>1712464</v>
      </c>
      <c r="B138" s="3" t="s">
        <v>159</v>
      </c>
      <c r="C138" s="3">
        <v>1971</v>
      </c>
      <c r="D138" s="3" t="s">
        <v>181</v>
      </c>
      <c r="E138" s="3" t="s">
        <v>8</v>
      </c>
      <c r="F138" s="3">
        <v>80</v>
      </c>
      <c r="G138" s="3">
        <v>1993</v>
      </c>
    </row>
    <row r="139" spans="1:7" s="3" customFormat="1" ht="30.95" customHeight="1">
      <c r="A139" s="24">
        <v>1712465</v>
      </c>
      <c r="B139" s="3" t="s">
        <v>160</v>
      </c>
      <c r="C139" s="3">
        <v>1972</v>
      </c>
      <c r="D139" s="3" t="s">
        <v>181</v>
      </c>
      <c r="E139" s="3" t="s">
        <v>8</v>
      </c>
      <c r="F139" s="3">
        <v>80</v>
      </c>
      <c r="G139" s="3">
        <v>1994</v>
      </c>
    </row>
    <row r="140" spans="1:7" s="3" customFormat="1" ht="30.95" customHeight="1">
      <c r="A140" s="24">
        <v>1712466</v>
      </c>
      <c r="B140" s="3" t="s">
        <v>161</v>
      </c>
      <c r="C140" s="3">
        <v>1973</v>
      </c>
      <c r="D140" s="3" t="s">
        <v>181</v>
      </c>
      <c r="E140" s="3" t="s">
        <v>8</v>
      </c>
      <c r="F140" s="3">
        <v>80</v>
      </c>
      <c r="G140" s="3">
        <v>1995</v>
      </c>
    </row>
    <row r="141" spans="1:7" s="3" customFormat="1" ht="30.95" customHeight="1">
      <c r="A141" s="24">
        <v>1712467</v>
      </c>
      <c r="B141" s="3" t="s">
        <v>162</v>
      </c>
      <c r="C141" s="3">
        <v>1974</v>
      </c>
      <c r="D141" s="3" t="s">
        <v>181</v>
      </c>
      <c r="E141" s="3" t="s">
        <v>8</v>
      </c>
      <c r="F141" s="3">
        <v>80</v>
      </c>
      <c r="G141" s="3">
        <v>1996</v>
      </c>
    </row>
    <row r="142" spans="1:7" s="3" customFormat="1" ht="30.95" customHeight="1">
      <c r="A142" s="24">
        <v>1712468</v>
      </c>
      <c r="B142" s="3" t="s">
        <v>163</v>
      </c>
      <c r="C142" s="3">
        <v>1982</v>
      </c>
      <c r="D142" s="3" t="s">
        <v>181</v>
      </c>
      <c r="E142" s="3" t="s">
        <v>8</v>
      </c>
      <c r="F142" s="3">
        <v>80</v>
      </c>
      <c r="G142" s="3">
        <v>2004</v>
      </c>
    </row>
    <row r="143" spans="1:7" s="3" customFormat="1" ht="30.95" customHeight="1">
      <c r="A143" s="24">
        <v>1712469</v>
      </c>
      <c r="B143" s="3" t="s">
        <v>164</v>
      </c>
      <c r="C143" s="3">
        <v>1983</v>
      </c>
      <c r="D143" s="3" t="s">
        <v>181</v>
      </c>
      <c r="E143" s="3" t="s">
        <v>8</v>
      </c>
      <c r="F143" s="3">
        <v>80</v>
      </c>
      <c r="G143" s="3">
        <v>2005</v>
      </c>
    </row>
    <row r="144" spans="1:7" s="3" customFormat="1" ht="30.95" customHeight="1">
      <c r="A144" s="24">
        <v>1712470</v>
      </c>
      <c r="B144" s="3" t="s">
        <v>165</v>
      </c>
      <c r="C144" s="3">
        <v>1984</v>
      </c>
      <c r="D144" s="3" t="s">
        <v>181</v>
      </c>
      <c r="E144" s="3" t="s">
        <v>8</v>
      </c>
      <c r="F144" s="3">
        <v>80</v>
      </c>
      <c r="G144" s="3">
        <v>2006</v>
      </c>
    </row>
    <row r="145" spans="1:9" s="3" customFormat="1" ht="30.95" customHeight="1">
      <c r="A145" s="24">
        <v>1712471</v>
      </c>
      <c r="B145" s="3" t="s">
        <v>166</v>
      </c>
      <c r="C145" s="3">
        <v>1985</v>
      </c>
      <c r="D145" s="3" t="s">
        <v>181</v>
      </c>
      <c r="E145" s="3" t="s">
        <v>8</v>
      </c>
      <c r="F145" s="3">
        <v>80</v>
      </c>
      <c r="G145" s="3">
        <v>2007</v>
      </c>
    </row>
    <row r="146" spans="1:9" s="3" customFormat="1" ht="30.95" customHeight="1">
      <c r="A146" s="24">
        <v>1712472</v>
      </c>
      <c r="B146" s="3" t="s">
        <v>167</v>
      </c>
      <c r="C146" s="3">
        <v>1961</v>
      </c>
      <c r="D146" s="3" t="s">
        <v>181</v>
      </c>
      <c r="E146" s="3" t="s">
        <v>8</v>
      </c>
      <c r="F146" s="3">
        <v>80</v>
      </c>
      <c r="G146" s="3">
        <v>1983</v>
      </c>
    </row>
    <row r="147" spans="1:9" s="3" customFormat="1" ht="30.95" customHeight="1">
      <c r="A147" s="24">
        <v>1712473</v>
      </c>
      <c r="B147" s="3" t="s">
        <v>168</v>
      </c>
      <c r="C147" s="3">
        <v>1962</v>
      </c>
      <c r="D147" s="3" t="s">
        <v>181</v>
      </c>
      <c r="E147" s="3" t="s">
        <v>8</v>
      </c>
      <c r="F147" s="3">
        <v>80</v>
      </c>
      <c r="G147" s="3">
        <v>1984</v>
      </c>
    </row>
    <row r="148" spans="1:9" s="3" customFormat="1" ht="30.95" customHeight="1">
      <c r="A148" s="24">
        <v>1712474</v>
      </c>
      <c r="B148" s="3" t="s">
        <v>169</v>
      </c>
      <c r="C148" s="3">
        <v>1963</v>
      </c>
      <c r="D148" s="3" t="s">
        <v>181</v>
      </c>
      <c r="E148" s="3" t="s">
        <v>8</v>
      </c>
      <c r="F148" s="3">
        <v>80</v>
      </c>
      <c r="G148" s="3">
        <v>1985</v>
      </c>
    </row>
    <row r="149" spans="1:9" s="3" customFormat="1" ht="30.95" customHeight="1">
      <c r="A149" s="24">
        <v>1712475</v>
      </c>
      <c r="B149" s="3" t="s">
        <v>170</v>
      </c>
      <c r="C149" s="3">
        <v>1964</v>
      </c>
      <c r="D149" s="3" t="s">
        <v>181</v>
      </c>
      <c r="E149" s="3" t="s">
        <v>9</v>
      </c>
      <c r="F149" s="3">
        <v>80</v>
      </c>
      <c r="G149" s="3">
        <v>1986</v>
      </c>
    </row>
    <row r="150" spans="1:9" s="3" customFormat="1" ht="30.95" customHeight="1">
      <c r="A150" s="24">
        <v>1712476</v>
      </c>
      <c r="B150" s="3" t="s">
        <v>171</v>
      </c>
      <c r="C150" s="3">
        <v>1965</v>
      </c>
      <c r="D150" s="3" t="s">
        <v>181</v>
      </c>
      <c r="E150" s="3" t="s">
        <v>9</v>
      </c>
      <c r="F150" s="3">
        <v>80</v>
      </c>
      <c r="G150" s="3">
        <v>1987</v>
      </c>
    </row>
    <row r="151" spans="1:9" s="3" customFormat="1" ht="30.95" customHeight="1">
      <c r="A151" s="24">
        <v>1712477</v>
      </c>
      <c r="B151" s="3" t="s">
        <v>172</v>
      </c>
      <c r="C151" s="3">
        <v>1966</v>
      </c>
      <c r="D151" s="3" t="s">
        <v>181</v>
      </c>
      <c r="E151" s="3" t="s">
        <v>9</v>
      </c>
      <c r="F151" s="3">
        <v>80</v>
      </c>
      <c r="G151" s="3">
        <v>1988</v>
      </c>
    </row>
    <row r="152" spans="1:9" s="3" customFormat="1" ht="30.95" customHeight="1">
      <c r="A152" s="24">
        <v>1712478</v>
      </c>
      <c r="B152" s="3" t="s">
        <v>173</v>
      </c>
      <c r="C152" s="3">
        <v>1967</v>
      </c>
      <c r="D152" s="3" t="s">
        <v>181</v>
      </c>
      <c r="E152" s="3" t="s">
        <v>9</v>
      </c>
      <c r="F152" s="3">
        <v>80</v>
      </c>
      <c r="G152" s="3">
        <v>1989</v>
      </c>
    </row>
    <row r="153" spans="1:9" s="3" customFormat="1" ht="30.95" customHeight="1">
      <c r="A153" s="24">
        <v>1712480</v>
      </c>
      <c r="B153" s="3" t="s">
        <v>15</v>
      </c>
      <c r="C153" s="3">
        <v>1968</v>
      </c>
      <c r="D153" s="3" t="s">
        <v>181</v>
      </c>
      <c r="E153" s="3" t="s">
        <v>9</v>
      </c>
      <c r="F153" s="3">
        <v>80</v>
      </c>
      <c r="G153" s="3">
        <v>1990</v>
      </c>
    </row>
    <row r="154" spans="1:9" s="3" customFormat="1" ht="30.95" customHeight="1">
      <c r="A154" s="24">
        <v>1712481</v>
      </c>
      <c r="B154" s="3" t="s">
        <v>174</v>
      </c>
      <c r="C154" s="3">
        <v>1969</v>
      </c>
      <c r="D154" s="3" t="s">
        <v>181</v>
      </c>
      <c r="E154" s="3" t="s">
        <v>9</v>
      </c>
      <c r="F154" s="3">
        <v>80</v>
      </c>
      <c r="G154" s="3">
        <v>1991</v>
      </c>
      <c r="I154" s="22"/>
    </row>
    <row r="155" spans="1:9" s="3" customFormat="1" ht="30.95" customHeight="1">
      <c r="A155" s="24">
        <v>1712482</v>
      </c>
      <c r="B155" s="3" t="s">
        <v>175</v>
      </c>
      <c r="C155" s="3">
        <v>1970</v>
      </c>
      <c r="D155" s="3" t="s">
        <v>181</v>
      </c>
      <c r="E155" s="3" t="s">
        <v>9</v>
      </c>
      <c r="F155" s="3">
        <v>80</v>
      </c>
      <c r="G155" s="3">
        <v>1992</v>
      </c>
      <c r="I155" s="22"/>
    </row>
    <row r="156" spans="1:9" s="3" customFormat="1" ht="30.95" customHeight="1">
      <c r="A156" s="24">
        <v>1712483</v>
      </c>
      <c r="B156" s="3" t="s">
        <v>193</v>
      </c>
      <c r="C156" s="3">
        <v>1971</v>
      </c>
      <c r="D156" s="3" t="s">
        <v>181</v>
      </c>
      <c r="E156" s="3" t="s">
        <v>9</v>
      </c>
      <c r="F156" s="3">
        <v>80</v>
      </c>
      <c r="G156" s="3">
        <v>1993</v>
      </c>
    </row>
    <row r="157" spans="1:9" s="3" customFormat="1" ht="30.95" customHeight="1">
      <c r="A157" s="24">
        <v>1712484</v>
      </c>
      <c r="B157" s="3" t="s">
        <v>176</v>
      </c>
      <c r="C157" s="3">
        <v>1972</v>
      </c>
      <c r="D157" s="3" t="s">
        <v>181</v>
      </c>
      <c r="E157" s="3" t="s">
        <v>9</v>
      </c>
      <c r="F157" s="3">
        <v>80</v>
      </c>
      <c r="G157" s="3">
        <v>1994</v>
      </c>
    </row>
    <row r="158" spans="1:9" s="3" customFormat="1" ht="30.95" customHeight="1">
      <c r="A158" s="24">
        <v>1712485</v>
      </c>
      <c r="B158" s="3" t="s">
        <v>177</v>
      </c>
      <c r="C158" s="3">
        <v>1973</v>
      </c>
      <c r="D158" s="3" t="s">
        <v>181</v>
      </c>
      <c r="E158" s="3" t="s">
        <v>9</v>
      </c>
      <c r="F158" s="3">
        <v>80</v>
      </c>
      <c r="G158" s="3">
        <v>1995</v>
      </c>
    </row>
  </sheetData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DefinedBenefitPlan(只可以查单人)</vt:lpstr>
      <vt:lpstr>DefinedBenefitPlan2(可以查多人)</vt:lpstr>
      <vt:lpstr>rules</vt:lpstr>
      <vt:lpstr>员工信息</vt:lpstr>
      <vt:lpstr>A18a200</vt:lpstr>
      <vt:lpstr>'DefinedBenefitPlan(只可以查单人)'!Print_Area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Zhou yanan</dc:creator>
  <cp:lastModifiedBy>JD</cp:lastModifiedBy>
  <dcterms:created xsi:type="dcterms:W3CDTF">2020-05-25T06:04:31Z</dcterms:created>
  <dcterms:modified xsi:type="dcterms:W3CDTF">2020-06-25T09:56:59Z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0536f77e</vt:lpwstr>
  </property>
</Properties>
</file>